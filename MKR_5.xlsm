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ЭтаКнига"/>
  <bookViews>
    <workbookView xWindow="-108" yWindow="-108" windowWidth="22140" windowHeight="13176" activeTab="1"/>
  </bookViews>
  <sheets>
    <sheet name="ro_const" sheetId="1" r:id="rId1"/>
    <sheet name="ro_var" sheetId="2" r:id="rId2"/>
  </sheet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3" i="2" l="1"/>
  <c r="Q12" i="2"/>
  <c r="P12" i="2"/>
  <c r="O12" i="2"/>
  <c r="N12" i="2"/>
  <c r="M12" i="2"/>
  <c r="L12" i="2"/>
  <c r="K12" i="2"/>
  <c r="J12" i="2"/>
  <c r="I12" i="2"/>
  <c r="H12" i="2"/>
  <c r="C8" i="2"/>
  <c r="Q4" i="2"/>
  <c r="G4" i="2"/>
  <c r="C4" i="2"/>
  <c r="H2" i="2" s="1"/>
  <c r="I2" i="2" s="1"/>
  <c r="J2" i="2" s="1"/>
  <c r="K2" i="2" s="1"/>
  <c r="L2" i="2" s="1"/>
  <c r="M2" i="2" s="1"/>
  <c r="N2" i="2" s="1"/>
  <c r="O2" i="2" s="1"/>
  <c r="P2" i="2" s="1"/>
  <c r="Q2" i="2" s="1"/>
  <c r="H3" i="2"/>
  <c r="H4" i="2" s="1"/>
  <c r="H3" i="1"/>
  <c r="H4" i="1" s="1"/>
  <c r="C8" i="1"/>
  <c r="I12" i="1"/>
  <c r="J12" i="1"/>
  <c r="J16" i="1" s="1"/>
  <c r="J17" i="1" s="1"/>
  <c r="H12" i="1"/>
  <c r="H16" i="1" s="1"/>
  <c r="H17" i="1" s="1"/>
  <c r="Q4" i="1"/>
  <c r="G4" i="1"/>
  <c r="C4" i="1"/>
  <c r="H2" i="1" s="1"/>
  <c r="I2" i="1" s="1"/>
  <c r="J2" i="1" s="1"/>
  <c r="K2" i="1" s="1"/>
  <c r="L2" i="1" s="1"/>
  <c r="M2" i="1" s="1"/>
  <c r="N2" i="1" s="1"/>
  <c r="O2" i="1" s="1"/>
  <c r="P2" i="1" s="1"/>
  <c r="Q2" i="1" s="1"/>
  <c r="G12" i="1" l="1"/>
  <c r="G16" i="1" s="1"/>
  <c r="G17" i="1" s="1"/>
  <c r="I16" i="1"/>
  <c r="I17" i="1" s="1"/>
  <c r="I18" i="1" s="1"/>
  <c r="I3" i="1"/>
  <c r="J3" i="1" s="1"/>
  <c r="K3" i="1" s="1"/>
  <c r="L3" i="1" s="1"/>
  <c r="M3" i="1" s="1"/>
  <c r="N3" i="1" s="1"/>
  <c r="O3" i="1" s="1"/>
  <c r="P3" i="1" s="1"/>
  <c r="P4" i="1" s="1"/>
  <c r="L4" i="1"/>
  <c r="I3" i="2"/>
  <c r="I4" i="2" s="1"/>
  <c r="I16" i="2"/>
  <c r="I17" i="2" s="1"/>
  <c r="I18" i="2" s="1"/>
  <c r="I21" i="2" s="1"/>
  <c r="M16" i="2"/>
  <c r="M17" i="2" s="1"/>
  <c r="M18" i="2" s="1"/>
  <c r="M21" i="2" s="1"/>
  <c r="Q16" i="2"/>
  <c r="Q17" i="2" s="1"/>
  <c r="Q18" i="2" s="1"/>
  <c r="Q21" i="2" s="1"/>
  <c r="O4" i="1"/>
  <c r="K4" i="1"/>
  <c r="N4" i="1"/>
  <c r="J4" i="1"/>
  <c r="M4" i="1"/>
  <c r="I4" i="1"/>
  <c r="J16" i="2"/>
  <c r="J17" i="2" s="1"/>
  <c r="J18" i="2" s="1"/>
  <c r="J21" i="2" s="1"/>
  <c r="N16" i="2"/>
  <c r="N17" i="2" s="1"/>
  <c r="N18" i="2" s="1"/>
  <c r="N21" i="2" s="1"/>
  <c r="K16" i="2"/>
  <c r="K17" i="2" s="1"/>
  <c r="K18" i="2" s="1"/>
  <c r="K21" i="2" s="1"/>
  <c r="Q9" i="2"/>
  <c r="I9" i="2"/>
  <c r="G12" i="2"/>
  <c r="H9" i="2"/>
  <c r="O16" i="2"/>
  <c r="O17" i="2" s="1"/>
  <c r="O18" i="2" s="1"/>
  <c r="O21" i="2" s="1"/>
  <c r="H16" i="2"/>
  <c r="H17" i="2" s="1"/>
  <c r="H18" i="2" s="1"/>
  <c r="H21" i="2" s="1"/>
  <c r="L16" i="2"/>
  <c r="L17" i="2" s="1"/>
  <c r="L18" i="2" s="1"/>
  <c r="L21" i="2" s="1"/>
  <c r="P16" i="2"/>
  <c r="P17" i="2" s="1"/>
  <c r="P18" i="2" s="1"/>
  <c r="P21" i="2" s="1"/>
  <c r="J3" i="2"/>
  <c r="I9" i="1"/>
  <c r="L12" i="1"/>
  <c r="L16" i="1" s="1"/>
  <c r="L17" i="1" s="1"/>
  <c r="L18" i="1" s="1"/>
  <c r="K12" i="1"/>
  <c r="K16" i="1" s="1"/>
  <c r="K17" i="1" s="1"/>
  <c r="K18" i="1" s="1"/>
  <c r="H9" i="1"/>
  <c r="J9" i="1"/>
  <c r="G18" i="1"/>
  <c r="J18" i="1"/>
  <c r="H18" i="1"/>
  <c r="G9" i="1"/>
  <c r="G13" i="1"/>
  <c r="N20" i="2" l="1"/>
  <c r="N22" i="2"/>
  <c r="Q22" i="2"/>
  <c r="Q20" i="2"/>
  <c r="J22" i="2"/>
  <c r="J20" i="2"/>
  <c r="P22" i="2"/>
  <c r="P20" i="2"/>
  <c r="O20" i="2"/>
  <c r="O22" i="2"/>
  <c r="M20" i="2"/>
  <c r="M22" i="2"/>
  <c r="I22" i="2"/>
  <c r="I20" i="2"/>
  <c r="H22" i="2"/>
  <c r="H20" i="2"/>
  <c r="K22" i="2"/>
  <c r="K20" i="2"/>
  <c r="L20" i="2"/>
  <c r="L22" i="2"/>
  <c r="Q14" i="2"/>
  <c r="H10" i="2"/>
  <c r="H13" i="2" s="1"/>
  <c r="H14" i="2" s="1"/>
  <c r="G13" i="2"/>
  <c r="G16" i="2"/>
  <c r="G17" i="2" s="1"/>
  <c r="G18" i="2" s="1"/>
  <c r="G21" i="2" s="1"/>
  <c r="G9" i="2"/>
  <c r="G10" i="2" s="1"/>
  <c r="K3" i="2"/>
  <c r="J4" i="2"/>
  <c r="J9" i="2" s="1"/>
  <c r="I10" i="1"/>
  <c r="I13" i="1" s="1"/>
  <c r="H10" i="1"/>
  <c r="H13" i="1" s="1"/>
  <c r="L9" i="1"/>
  <c r="G10" i="1"/>
  <c r="K9" i="1"/>
  <c r="J10" i="1" s="1"/>
  <c r="J13" i="1" s="1"/>
  <c r="M12" i="1"/>
  <c r="Q23" i="2" l="1"/>
  <c r="G20" i="2"/>
  <c r="G22" i="2"/>
  <c r="H23" i="2"/>
  <c r="G14" i="2"/>
  <c r="L3" i="2"/>
  <c r="K4" i="2"/>
  <c r="K9" i="2" s="1"/>
  <c r="J10" i="2" s="1"/>
  <c r="J13" i="2" s="1"/>
  <c r="J14" i="2" s="1"/>
  <c r="J23" i="2" s="1"/>
  <c r="I10" i="2"/>
  <c r="I13" i="2" s="1"/>
  <c r="I14" i="2" s="1"/>
  <c r="I23" i="2" s="1"/>
  <c r="M16" i="1"/>
  <c r="M17" i="1" s="1"/>
  <c r="M18" i="1" s="1"/>
  <c r="M9" i="1"/>
  <c r="L10" i="1" s="1"/>
  <c r="L13" i="1" s="1"/>
  <c r="K10" i="1"/>
  <c r="K13" i="1" s="1"/>
  <c r="G23" i="2" l="1"/>
  <c r="M3" i="2"/>
  <c r="L4" i="2"/>
  <c r="L9" i="2" s="1"/>
  <c r="O12" i="1"/>
  <c r="N12" i="1"/>
  <c r="M4" i="2" l="1"/>
  <c r="M9" i="2" s="1"/>
  <c r="L10" i="2" s="1"/>
  <c r="L13" i="2" s="1"/>
  <c r="L14" i="2" s="1"/>
  <c r="L23" i="2" s="1"/>
  <c r="N3" i="2"/>
  <c r="K10" i="2"/>
  <c r="K13" i="2" s="1"/>
  <c r="K14" i="2" s="1"/>
  <c r="K23" i="2" s="1"/>
  <c r="N16" i="1"/>
  <c r="N17" i="1" s="1"/>
  <c r="N18" i="1" s="1"/>
  <c r="N9" i="1"/>
  <c r="M10" i="1" s="1"/>
  <c r="M13" i="1" s="1"/>
  <c r="O16" i="1"/>
  <c r="O17" i="1" s="1"/>
  <c r="O18" i="1" s="1"/>
  <c r="O9" i="1"/>
  <c r="N4" i="2" l="1"/>
  <c r="N9" i="2" s="1"/>
  <c r="M10" i="2" s="1"/>
  <c r="M13" i="2" s="1"/>
  <c r="M14" i="2" s="1"/>
  <c r="M23" i="2" s="1"/>
  <c r="O3" i="2"/>
  <c r="Q13" i="1"/>
  <c r="Q12" i="1"/>
  <c r="P12" i="1"/>
  <c r="N10" i="1"/>
  <c r="N13" i="1" s="1"/>
  <c r="P3" i="2" l="1"/>
  <c r="P4" i="2" s="1"/>
  <c r="P9" i="2" s="1"/>
  <c r="P10" i="2" s="1"/>
  <c r="P13" i="2" s="1"/>
  <c r="P14" i="2" s="1"/>
  <c r="P23" i="2" s="1"/>
  <c r="O4" i="2"/>
  <c r="O9" i="2" s="1"/>
  <c r="P16" i="1"/>
  <c r="P17" i="1" s="1"/>
  <c r="P18" i="1" s="1"/>
  <c r="P9" i="1"/>
  <c r="Q16" i="1"/>
  <c r="Q17" i="1" s="1"/>
  <c r="Q18" i="1" s="1"/>
  <c r="Q9" i="1"/>
  <c r="O10" i="2" l="1"/>
  <c r="O13" i="2" s="1"/>
  <c r="O14" i="2" s="1"/>
  <c r="O23" i="2" s="1"/>
  <c r="N10" i="2"/>
  <c r="N13" i="2" s="1"/>
  <c r="N14" i="2" s="1"/>
  <c r="N23" i="2" s="1"/>
  <c r="P10" i="1"/>
  <c r="P13" i="1" s="1"/>
  <c r="O10" i="1"/>
  <c r="O13" i="1" s="1"/>
</calcChain>
</file>

<file path=xl/sharedStrings.xml><?xml version="1.0" encoding="utf-8"?>
<sst xmlns="http://schemas.openxmlformats.org/spreadsheetml/2006/main" count="58" uniqueCount="29">
  <si>
    <t>L</t>
  </si>
  <si>
    <t>dx</t>
  </si>
  <si>
    <t>k</t>
  </si>
  <si>
    <t>R</t>
  </si>
  <si>
    <t>Cp</t>
  </si>
  <si>
    <t>p*</t>
  </si>
  <si>
    <t>T*</t>
  </si>
  <si>
    <t>n</t>
  </si>
  <si>
    <t>N</t>
  </si>
  <si>
    <t>x</t>
  </si>
  <si>
    <t>A</t>
  </si>
  <si>
    <t>U</t>
  </si>
  <si>
    <t>p</t>
  </si>
  <si>
    <t>ro</t>
  </si>
  <si>
    <t>G</t>
  </si>
  <si>
    <t>dp</t>
  </si>
  <si>
    <t>T</t>
  </si>
  <si>
    <t>c</t>
  </si>
  <si>
    <t>M</t>
  </si>
  <si>
    <t>lamda</t>
  </si>
  <si>
    <t>U_3d</t>
  </si>
  <si>
    <t>p_3d</t>
  </si>
  <si>
    <t>G_3d</t>
  </si>
  <si>
    <t>U_3D</t>
  </si>
  <si>
    <t>p_3D</t>
  </si>
  <si>
    <t>G_3D</t>
  </si>
  <si>
    <t>№</t>
  </si>
  <si>
    <t>Tau_lam</t>
  </si>
  <si>
    <t>Pi_lamda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</si>
</sst>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000"/>
    <numFmt numFmtId="166" formatCode="0.0000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6"/>
      <color rgb="FF000000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 applyBorder="1"/>
    <xf numFmtId="0" fontId="0" fillId="0" borderId="0" xfId="0" applyFont="1"/>
    <xf numFmtId="0" fontId="0" fillId="0" borderId="1" xfId="0" applyFont="1" applyBorder="1"/>
    <xf numFmtId="1" fontId="0" fillId="0" borderId="1" xfId="0" applyNumberFormat="1" applyFont="1" applyBorder="1" applyAlignment="1">
      <alignment horizontal="center"/>
    </xf>
    <xf numFmtId="2" fontId="0" fillId="0" borderId="1" xfId="0" applyNumberFormat="1" applyFont="1" applyBorder="1" applyAlignment="1">
      <alignment horizontal="center"/>
    </xf>
    <xf numFmtId="2" fontId="0" fillId="2" borderId="1" xfId="0" applyNumberFormat="1" applyFont="1" applyFill="1" applyBorder="1" applyAlignment="1">
      <alignment horizontal="center"/>
    </xf>
    <xf numFmtId="164" fontId="0" fillId="0" borderId="1" xfId="0" applyNumberFormat="1" applyFont="1" applyBorder="1" applyAlignment="1">
      <alignment horizontal="center"/>
    </xf>
    <xf numFmtId="165" fontId="0" fillId="0" borderId="1" xfId="0" applyNumberFormat="1" applyFont="1" applyBorder="1" applyAlignment="1">
      <alignment horizontal="center"/>
    </xf>
    <xf numFmtId="0" fontId="0" fillId="6" borderId="1" xfId="0" applyFont="1" applyFill="1" applyBorder="1"/>
    <xf numFmtId="1" fontId="0" fillId="6" borderId="1" xfId="0" applyNumberFormat="1" applyFont="1" applyFill="1" applyBorder="1" applyAlignment="1">
      <alignment horizontal="center"/>
    </xf>
    <xf numFmtId="0" fontId="0" fillId="4" borderId="1" xfId="0" applyFont="1" applyFill="1" applyBorder="1"/>
    <xf numFmtId="164" fontId="0" fillId="6" borderId="1" xfId="0" applyNumberFormat="1" applyFont="1" applyFill="1" applyBorder="1" applyAlignment="1">
      <alignment horizontal="center"/>
    </xf>
    <xf numFmtId="0" fontId="0" fillId="0" borderId="0" xfId="0" applyFont="1" applyBorder="1"/>
    <xf numFmtId="2" fontId="0" fillId="0" borderId="0" xfId="0" applyNumberFormat="1" applyFont="1" applyBorder="1" applyAlignment="1">
      <alignment horizontal="center"/>
    </xf>
    <xf numFmtId="0" fontId="0" fillId="3" borderId="1" xfId="0" applyFont="1" applyFill="1" applyBorder="1"/>
    <xf numFmtId="166" fontId="0" fillId="0" borderId="1" xfId="0" applyNumberFormat="1" applyFont="1" applyBorder="1" applyAlignment="1">
      <alignment horizontal="center"/>
    </xf>
    <xf numFmtId="166" fontId="0" fillId="3" borderId="1" xfId="0" applyNumberFormat="1" applyFont="1" applyFill="1" applyBorder="1" applyAlignment="1">
      <alignment horizontal="center"/>
    </xf>
    <xf numFmtId="165" fontId="0" fillId="3" borderId="1" xfId="0" applyNumberFormat="1" applyFont="1" applyFill="1" applyBorder="1" applyAlignment="1">
      <alignment horizontal="center"/>
    </xf>
    <xf numFmtId="1" fontId="0" fillId="3" borderId="1" xfId="0" applyNumberFormat="1" applyFont="1" applyFill="1" applyBorder="1" applyAlignment="1">
      <alignment horizontal="center"/>
    </xf>
    <xf numFmtId="0" fontId="0" fillId="5" borderId="1" xfId="0" applyFont="1" applyFill="1" applyBorder="1"/>
    <xf numFmtId="0" fontId="0" fillId="0" borderId="1" xfId="0" applyFont="1" applyFill="1" applyBorder="1"/>
    <xf numFmtId="0" fontId="0" fillId="0" borderId="1" xfId="0" applyBorder="1"/>
    <xf numFmtId="0" fontId="0" fillId="0" borderId="1" xfId="0" applyFill="1" applyBorder="1"/>
    <xf numFmtId="0" fontId="0" fillId="0" borderId="0" xfId="0" applyFill="1" applyBorder="1"/>
    <xf numFmtId="0" fontId="0" fillId="0" borderId="0" xfId="0" applyFont="1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>
                    <a:lumMod val="75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ro_const!$G$2:$Q$2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ro_const!$G$3:$Q$3</c:f>
              <c:numCache>
                <c:formatCode>0.000</c:formatCode>
                <c:ptCount val="11"/>
                <c:pt idx="0" formatCode="0.0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 formatCode="0.00">
                  <c:v>0.04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0-C31D-4B34-8F47-90EF68A5AA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252992"/>
        <c:axId val="173255680"/>
      </c:scatterChart>
      <c:valAx>
        <c:axId val="17325299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chemeClr val="tx1"/>
                    </a:solidFill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567429463929972"/>
              <c:y val="0.86009615384615401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73255680"/>
        <c:crosses val="autoZero"/>
        <c:crossBetween val="midCat"/>
        <c:majorUnit val="1.0000000000000005E-2"/>
      </c:valAx>
      <c:valAx>
        <c:axId val="173255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R, </a:t>
                </a:r>
                <a:r>
                  <a:rPr lang="ru-RU" sz="120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9.1699937227060713E-2"/>
              <c:y val="1.2590854027861881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73252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ro_const!$G$2:$Q$2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ro_const!$G$9:$Q$9</c:f>
              <c:numCache>
                <c:formatCode>0.000</c:formatCode>
                <c:ptCount val="11"/>
                <c:pt idx="0">
                  <c:v>1.3682762282962226</c:v>
                </c:pt>
                <c:pt idx="1">
                  <c:v>1.3682762276703158</c:v>
                </c:pt>
                <c:pt idx="2">
                  <c:v>1.3682761933106795</c:v>
                </c:pt>
                <c:pt idx="3">
                  <c:v>1.3682761699763411</c:v>
                </c:pt>
                <c:pt idx="4">
                  <c:v>1.3682761568325768</c:v>
                </c:pt>
                <c:pt idx="5">
                  <c:v>1.3682761524345008</c:v>
                </c:pt>
                <c:pt idx="6">
                  <c:v>1.3682761546959754</c:v>
                </c:pt>
                <c:pt idx="7">
                  <c:v>1.3682761609764142</c:v>
                </c:pt>
                <c:pt idx="8">
                  <c:v>1.3682761683636357</c:v>
                </c:pt>
                <c:pt idx="9">
                  <c:v>1.368276174223594</c:v>
                </c:pt>
                <c:pt idx="10">
                  <c:v>1.3682761770017497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919-45E3-8D41-446F775A34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168064"/>
        <c:axId val="148170240"/>
      </c:scatterChart>
      <c:valAx>
        <c:axId val="14816806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234354538659112"/>
              <c:y val="0.85048076923076898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48170240"/>
        <c:crosses val="autoZero"/>
        <c:crossBetween val="midCat"/>
        <c:majorUnit val="1.0000000000000005E-2"/>
      </c:valAx>
      <c:valAx>
        <c:axId val="14817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G,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кг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/c</a:t>
                </a:r>
                <a:endParaRPr lang="ru-RU" sz="1200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0.10849393290506784"/>
              <c:y val="2.2206238643246501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48168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p</c:v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ro_const!$G$2:$Q$2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ro_const!$G$6:$Q$6</c:f>
              <c:numCache>
                <c:formatCode>0</c:formatCode>
                <c:ptCount val="11"/>
                <c:pt idx="0">
                  <c:v>133045.93266619311</c:v>
                </c:pt>
                <c:pt idx="1">
                  <c:v>132578.11167090648</c:v>
                </c:pt>
                <c:pt idx="2">
                  <c:v>131967.60012203871</c:v>
                </c:pt>
                <c:pt idx="3">
                  <c:v>131158.8455452167</c:v>
                </c:pt>
                <c:pt idx="4">
                  <c:v>130069.349669505</c:v>
                </c:pt>
                <c:pt idx="5">
                  <c:v>128573.64401212196</c:v>
                </c:pt>
                <c:pt idx="6">
                  <c:v>126475.70529524123</c:v>
                </c:pt>
                <c:pt idx="7">
                  <c:v>123459.75794292716</c:v>
                </c:pt>
                <c:pt idx="8">
                  <c:v>118998.9061138324</c:v>
                </c:pt>
                <c:pt idx="9">
                  <c:v>112177.34017633475</c:v>
                </c:pt>
                <c:pt idx="10">
                  <c:v>101325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D5E-4999-A45C-592C4D459E00}"/>
            </c:ext>
          </c:extLst>
        </c:ser>
        <c:ser>
          <c:idx val="1"/>
          <c:order val="1"/>
          <c:tx>
            <c:v>p_3D</c:v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ro_const!$M$21:$Q$21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ro_const!$M$23:$Q$23</c:f>
              <c:numCache>
                <c:formatCode>General</c:formatCode>
                <c:ptCount val="5"/>
                <c:pt idx="0">
                  <c:v>133165</c:v>
                </c:pt>
                <c:pt idx="1">
                  <c:v>132230</c:v>
                </c:pt>
                <c:pt idx="2">
                  <c:v>129765</c:v>
                </c:pt>
                <c:pt idx="3">
                  <c:v>123565</c:v>
                </c:pt>
                <c:pt idx="4">
                  <c:v>101336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1D5E-4999-A45C-592C4D459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24928"/>
        <c:axId val="144147584"/>
      </c:scatterChart>
      <c:valAx>
        <c:axId val="14412492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67129137609925"/>
              <c:y val="0.77020042374221309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44147584"/>
        <c:crosses val="autoZero"/>
        <c:crossBetween val="midCat"/>
        <c:majorUnit val="1.0000000000000005E-2"/>
      </c:valAx>
      <c:valAx>
        <c:axId val="144147584"/>
        <c:scaling>
          <c:orientation val="minMax"/>
          <c:max val="140000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Па</a:t>
                </a:r>
              </a:p>
            </c:rich>
          </c:tx>
          <c:layout>
            <c:manualLayout>
              <c:xMode val="edge"/>
              <c:yMode val="edge"/>
              <c:x val="0.13468428280224545"/>
              <c:y val="1.3223286848180126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44124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</c:v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ro_const!$G$2:$Q$2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ro_const!$G$5:$Q$5</c:f>
              <c:numCache>
                <c:formatCode>0</c:formatCode>
                <c:ptCount val="11"/>
                <c:pt idx="0">
                  <c:v>57.428250355679211</c:v>
                </c:pt>
                <c:pt idx="1">
                  <c:v>63.632410337108162</c:v>
                </c:pt>
                <c:pt idx="2">
                  <c:v>70.89907268865565</c:v>
                </c:pt>
                <c:pt idx="3">
                  <c:v>79.485464209087965</c:v>
                </c:pt>
                <c:pt idx="4">
                  <c:v>89.731636459413522</c:v>
                </c:pt>
                <c:pt idx="5">
                  <c:v>102.09466159285526</c:v>
                </c:pt>
                <c:pt idx="6">
                  <c:v>117.20050456973416</c:v>
                </c:pt>
                <c:pt idx="7">
                  <c:v>135.92484615950946</c:v>
                </c:pt>
                <c:pt idx="8">
                  <c:v>159.52291059141209</c:v>
                </c:pt>
                <c:pt idx="9">
                  <c:v>189.84544813083312</c:v>
                </c:pt>
                <c:pt idx="10">
                  <c:v>229.71299270658579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3491-4D9A-9413-03D5109C3A24}"/>
            </c:ext>
          </c:extLst>
        </c:ser>
        <c:ser>
          <c:idx val="1"/>
          <c:order val="1"/>
          <c:tx>
            <c:v>U_3D</c:v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ro_const!$M$21:$Q$21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ro_const!$M$22:$Q$22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3491-4D9A-9413-03D5109C3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817408"/>
        <c:axId val="146819328"/>
      </c:scatterChart>
      <c:valAx>
        <c:axId val="14681740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06873605467407"/>
              <c:y val="0.7734132751478354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46819328"/>
        <c:crosses val="autoZero"/>
        <c:crossBetween val="midCat"/>
        <c:majorUnit val="1.0000000000000005E-2"/>
      </c:valAx>
      <c:valAx>
        <c:axId val="146819328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с</a:t>
                </a:r>
              </a:p>
            </c:rich>
          </c:tx>
          <c:layout>
            <c:manualLayout>
              <c:xMode val="edge"/>
              <c:yMode val="edge"/>
              <c:x val="8.5653104925053528E-2"/>
              <c:y val="1.7472346077222284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46817408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44439663457485395"/>
          <c:y val="0.93614419884261457"/>
          <c:w val="0.30535354386911495"/>
          <c:h val="5.42172469405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U, ro=const</c:v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ro_const!$G$2:$Q$2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ro_const!$G$5:$Q$5</c:f>
              <c:numCache>
                <c:formatCode>0</c:formatCode>
                <c:ptCount val="11"/>
                <c:pt idx="0">
                  <c:v>57.428250355679211</c:v>
                </c:pt>
                <c:pt idx="1">
                  <c:v>63.632410337108162</c:v>
                </c:pt>
                <c:pt idx="2">
                  <c:v>70.89907268865565</c:v>
                </c:pt>
                <c:pt idx="3">
                  <c:v>79.485464209087965</c:v>
                </c:pt>
                <c:pt idx="4">
                  <c:v>89.731636459413522</c:v>
                </c:pt>
                <c:pt idx="5">
                  <c:v>102.09466159285526</c:v>
                </c:pt>
                <c:pt idx="6">
                  <c:v>117.20050456973416</c:v>
                </c:pt>
                <c:pt idx="7">
                  <c:v>135.92484615950946</c:v>
                </c:pt>
                <c:pt idx="8">
                  <c:v>159.52291059141209</c:v>
                </c:pt>
                <c:pt idx="9">
                  <c:v>189.84544813083312</c:v>
                </c:pt>
                <c:pt idx="10">
                  <c:v>229.71299270658579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218-4F06-B954-62E18A8D1214}"/>
            </c:ext>
          </c:extLst>
        </c:ser>
        <c:ser>
          <c:idx val="1"/>
          <c:order val="1"/>
          <c:tx>
            <c:v>U_3D</c:v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ro_const!$M$21:$Q$21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ro_const!$M$22:$Q$22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218-4F06-B954-62E18A8D1214}"/>
            </c:ext>
          </c:extLst>
        </c:ser>
        <c:ser>
          <c:idx val="2"/>
          <c:order val="2"/>
          <c:tx>
            <c:v>U, ro=var</c:v>
          </c:tx>
          <c:spPr>
            <a:ln>
              <a:solidFill>
                <a:schemeClr val="accent3">
                  <a:lumMod val="75000"/>
                </a:schemeClr>
              </a:solidFill>
              <a:prstDash val="lgDashDot"/>
            </a:ln>
          </c:spPr>
          <c:marker>
            <c:symbol val="none"/>
          </c:marker>
          <c:xVal>
            <c:numRef>
              <c:f>ro_const!$G$2:$Q$2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ro_var!$G$5:$Q$5</c:f>
              <c:numCache>
                <c:formatCode>0</c:formatCode>
                <c:ptCount val="11"/>
                <c:pt idx="0">
                  <c:v>41.930454688016205</c:v>
                </c:pt>
                <c:pt idx="1">
                  <c:v>46.548581709033208</c:v>
                </c:pt>
                <c:pt idx="2">
                  <c:v>51.994213660709832</c:v>
                </c:pt>
                <c:pt idx="3">
                  <c:v>58.493876043434838</c:v>
                </c:pt>
                <c:pt idx="4">
                  <c:v>66.353261996614947</c:v>
                </c:pt>
                <c:pt idx="5">
                  <c:v>76.009248964767522</c:v>
                </c:pt>
                <c:pt idx="6">
                  <c:v>88.115154200169584</c:v>
                </c:pt>
                <c:pt idx="7">
                  <c:v>103.71276643317931</c:v>
                </c:pt>
                <c:pt idx="8">
                  <c:v>124.63557676733839</c:v>
                </c:pt>
                <c:pt idx="9">
                  <c:v>154.71781183584213</c:v>
                </c:pt>
                <c:pt idx="10">
                  <c:v>205.86967149202843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B218-4F06-B954-62E18A8D1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859520"/>
        <c:axId val="146861440"/>
      </c:scatterChart>
      <c:valAx>
        <c:axId val="14685952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1716973821476377"/>
              <c:y val="0.81465265254380903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46861440"/>
        <c:crosses val="autoZero"/>
        <c:crossBetween val="midCat"/>
        <c:majorUnit val="1.0000000000000005E-2"/>
      </c:valAx>
      <c:valAx>
        <c:axId val="146861440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с</a:t>
                </a:r>
              </a:p>
            </c:rich>
          </c:tx>
          <c:layout>
            <c:manualLayout>
              <c:xMode val="edge"/>
              <c:yMode val="edge"/>
              <c:x val="6.9401133616484784E-2"/>
              <c:y val="1.1641607511218323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46859520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ro_const!$G$2:$Q$2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ro_const!$G$3:$Q$3</c:f>
              <c:numCache>
                <c:formatCode>0.000</c:formatCode>
                <c:ptCount val="11"/>
                <c:pt idx="0" formatCode="0.0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 formatCode="0.00">
                  <c:v>0.04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9E2-4F46-82D1-881218EE0E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945152"/>
        <c:axId val="146947072"/>
      </c:scatterChart>
      <c:valAx>
        <c:axId val="14694515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414538746647999"/>
              <c:y val="0.85364705882352976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46947072"/>
        <c:crosses val="autoZero"/>
        <c:crossBetween val="midCat"/>
        <c:majorUnit val="1.0000000000000005E-2"/>
      </c:valAx>
      <c:valAx>
        <c:axId val="14694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9.8336948662328297E-2"/>
              <c:y val="1.1375142813030745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46945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ro_var!$G$2:$Q$2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ro_var!$G$9:$Q$9</c:f>
              <c:numCache>
                <c:formatCode>0.000</c:formatCode>
                <c:ptCount val="11"/>
                <c:pt idx="0">
                  <c:v>1.3659496031357778</c:v>
                </c:pt>
                <c:pt idx="1">
                  <c:v>1.3659495179269459</c:v>
                </c:pt>
                <c:pt idx="2">
                  <c:v>1.3659491779904394</c:v>
                </c:pt>
                <c:pt idx="3">
                  <c:v>1.3660947315184842</c:v>
                </c:pt>
                <c:pt idx="4">
                  <c:v>1.3663595377415811</c:v>
                </c:pt>
                <c:pt idx="5">
                  <c:v>1.3667086986257231</c:v>
                </c:pt>
                <c:pt idx="6">
                  <c:v>1.3670992763729681</c:v>
                </c:pt>
                <c:pt idx="7">
                  <c:v>1.3674821911206905</c:v>
                </c:pt>
                <c:pt idx="8">
                  <c:v>1.3678069114583604</c:v>
                </c:pt>
                <c:pt idx="9">
                  <c:v>1.3680303229529034</c:v>
                </c:pt>
                <c:pt idx="10">
                  <c:v>1.3681311165543479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7B9-41E1-B137-27AF07D87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954112"/>
        <c:axId val="146980864"/>
      </c:scatterChart>
      <c:valAx>
        <c:axId val="14695411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89973611068302994"/>
              <c:y val="0.85364705882352976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46980864"/>
        <c:crosses val="autoZero"/>
        <c:crossBetween val="midCat"/>
        <c:majorUnit val="1.0000000000000005E-2"/>
      </c:valAx>
      <c:valAx>
        <c:axId val="14698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G,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кг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/c</a:t>
                </a:r>
                <a:endParaRPr lang="ru-RU" sz="1200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0.11225041110891526"/>
              <c:y val="1.4512397714991507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46954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p</c:v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ro_var!$G$2:$Q$2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ro_var!$G$6:$Q$6</c:f>
              <c:numCache>
                <c:formatCode>0</c:formatCode>
                <c:ptCount val="11"/>
                <c:pt idx="0">
                  <c:v>133575.69025755001</c:v>
                </c:pt>
                <c:pt idx="1">
                  <c:v>133228.05569621688</c:v>
                </c:pt>
                <c:pt idx="2">
                  <c:v>132771.30446114283</c:v>
                </c:pt>
                <c:pt idx="3">
                  <c:v>132160.04965306472</c:v>
                </c:pt>
                <c:pt idx="4">
                  <c:v>131325.47706169411</c:v>
                </c:pt>
                <c:pt idx="5">
                  <c:v>130158.56251876475</c:v>
                </c:pt>
                <c:pt idx="6">
                  <c:v>128478.65101798151</c:v>
                </c:pt>
                <c:pt idx="7">
                  <c:v>125967.72768659318</c:v>
                </c:pt>
                <c:pt idx="8">
                  <c:v>122013.89711203439</c:v>
                </c:pt>
                <c:pt idx="9">
                  <c:v>115247.57469082212</c:v>
                </c:pt>
                <c:pt idx="10">
                  <c:v>101325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00F-4507-AA59-18B11041331B}"/>
            </c:ext>
          </c:extLst>
        </c:ser>
        <c:ser>
          <c:idx val="1"/>
          <c:order val="1"/>
          <c:tx>
            <c:v>p_3D</c:v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ro_const!$M$21:$Q$21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ro_const!$M$23:$Q$23</c:f>
              <c:numCache>
                <c:formatCode>General</c:formatCode>
                <c:ptCount val="5"/>
                <c:pt idx="0">
                  <c:v>133165</c:v>
                </c:pt>
                <c:pt idx="1">
                  <c:v>132230</c:v>
                </c:pt>
                <c:pt idx="2">
                  <c:v>129765</c:v>
                </c:pt>
                <c:pt idx="3">
                  <c:v>123565</c:v>
                </c:pt>
                <c:pt idx="4">
                  <c:v>101336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00F-4507-AA59-18B110413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317312"/>
        <c:axId val="148319232"/>
      </c:scatterChart>
      <c:valAx>
        <c:axId val="14831731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chemeClr val="tx1"/>
                    </a:solidFill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705928570208549"/>
              <c:y val="0.7759087796232854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48319232"/>
        <c:crosses val="autoZero"/>
        <c:crossBetween val="midCat"/>
        <c:majorUnit val="1.0000000000000005E-2"/>
      </c:valAx>
      <c:valAx>
        <c:axId val="148319232"/>
        <c:scaling>
          <c:orientation val="minMax"/>
          <c:max val="140000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0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chemeClr val="tx1"/>
                    </a:solidFill>
                  </a:rPr>
                  <a:t>P,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П</a:t>
                </a:r>
                <a:r>
                  <a:rPr lang="ru-RU" sz="1200">
                    <a:solidFill>
                      <a:schemeClr val="tx1"/>
                    </a:solidFill>
                  </a:rPr>
                  <a:t>а</a:t>
                </a:r>
              </a:p>
            </c:rich>
          </c:tx>
          <c:layout>
            <c:manualLayout>
              <c:xMode val="edge"/>
              <c:yMode val="edge"/>
              <c:x val="0.12147505422993495"/>
              <c:y val="1.9667858045060563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48317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</c:v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ro_var!$G$2:$Q$2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ro_var!$G$5:$Q$5</c:f>
              <c:numCache>
                <c:formatCode>0</c:formatCode>
                <c:ptCount val="11"/>
                <c:pt idx="0">
                  <c:v>41.930454688016205</c:v>
                </c:pt>
                <c:pt idx="1">
                  <c:v>46.548581709033208</c:v>
                </c:pt>
                <c:pt idx="2">
                  <c:v>51.994213660709832</c:v>
                </c:pt>
                <c:pt idx="3">
                  <c:v>58.493876043434838</c:v>
                </c:pt>
                <c:pt idx="4">
                  <c:v>66.353261996614947</c:v>
                </c:pt>
                <c:pt idx="5">
                  <c:v>76.009248964767522</c:v>
                </c:pt>
                <c:pt idx="6">
                  <c:v>88.115154200169584</c:v>
                </c:pt>
                <c:pt idx="7">
                  <c:v>103.71276643317931</c:v>
                </c:pt>
                <c:pt idx="8">
                  <c:v>124.63557676733839</c:v>
                </c:pt>
                <c:pt idx="9">
                  <c:v>154.71781183584213</c:v>
                </c:pt>
                <c:pt idx="10">
                  <c:v>205.86967149202843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5A8-43AE-913D-3F899EDF383D}"/>
            </c:ext>
          </c:extLst>
        </c:ser>
        <c:ser>
          <c:idx val="1"/>
          <c:order val="1"/>
          <c:tx>
            <c:v>U_3D</c:v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ro_const!$M$21:$Q$21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ro_const!$M$22:$Q$22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05A8-43AE-913D-3F899EDF38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357888"/>
        <c:axId val="148359808"/>
      </c:scatterChart>
      <c:valAx>
        <c:axId val="14835788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815477820062118"/>
              <c:y val="0.77904182192083649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48359808"/>
        <c:crosses val="autoZero"/>
        <c:crossBetween val="midCat"/>
        <c:majorUnit val="1.0000000000000005E-2"/>
      </c:valAx>
      <c:valAx>
        <c:axId val="148359808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с</a:t>
                </a:r>
              </a:p>
            </c:rich>
          </c:tx>
          <c:layout>
            <c:manualLayout>
              <c:xMode val="edge"/>
              <c:yMode val="edge"/>
              <c:x val="9.2102901422699737E-2"/>
              <c:y val="1.9049143865355157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48357888"/>
        <c:crosses val="autoZero"/>
        <c:crossBetween val="midCat"/>
      </c:valAx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U, ro=const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ro_const!$G$2:$Q$2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ro_const!$G$5:$Q$5</c:f>
              <c:numCache>
                <c:formatCode>0</c:formatCode>
                <c:ptCount val="11"/>
                <c:pt idx="0">
                  <c:v>57.428250355679211</c:v>
                </c:pt>
                <c:pt idx="1">
                  <c:v>63.632410337108162</c:v>
                </c:pt>
                <c:pt idx="2">
                  <c:v>70.89907268865565</c:v>
                </c:pt>
                <c:pt idx="3">
                  <c:v>79.485464209087965</c:v>
                </c:pt>
                <c:pt idx="4">
                  <c:v>89.731636459413522</c:v>
                </c:pt>
                <c:pt idx="5">
                  <c:v>102.09466159285526</c:v>
                </c:pt>
                <c:pt idx="6">
                  <c:v>117.20050456973416</c:v>
                </c:pt>
                <c:pt idx="7">
                  <c:v>135.92484615950946</c:v>
                </c:pt>
                <c:pt idx="8">
                  <c:v>159.52291059141209</c:v>
                </c:pt>
                <c:pt idx="9">
                  <c:v>189.84544813083312</c:v>
                </c:pt>
                <c:pt idx="10">
                  <c:v>229.71299270658579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5C1-4131-898F-874A5AA66C39}"/>
            </c:ext>
          </c:extLst>
        </c:ser>
        <c:ser>
          <c:idx val="1"/>
          <c:order val="1"/>
          <c:tx>
            <c:v>U_3D</c:v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dPt>
            <c:idx val="4"/>
            <c:bubble3D val="0"/>
            <c:spPr>
              <a:ln w="19050" cap="rnd">
                <a:solidFill>
                  <a:schemeClr val="accent2">
                    <a:lumMod val="75000"/>
                  </a:schemeClr>
                </a:solidFill>
                <a:prstDash val="dash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E5C1-4131-898F-874A5AA66C39}"/>
              </c:ext>
            </c:extLst>
          </c:dPt>
          <c:xVal>
            <c:numRef>
              <c:f>ro_const!$M$21:$Q$21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ro_const!$M$22:$Q$22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E5C1-4131-898F-874A5AA66C39}"/>
            </c:ext>
          </c:extLst>
        </c:ser>
        <c:ser>
          <c:idx val="2"/>
          <c:order val="2"/>
          <c:tx>
            <c:v>U, ro=var</c:v>
          </c:tx>
          <c:spPr>
            <a:ln>
              <a:solidFill>
                <a:schemeClr val="accent3">
                  <a:lumMod val="75000"/>
                </a:schemeClr>
              </a:solidFill>
              <a:prstDash val="lgDashDot"/>
            </a:ln>
          </c:spPr>
          <c:marker>
            <c:symbol val="none"/>
          </c:marker>
          <c:xVal>
            <c:numRef>
              <c:f>ro_const!$G$2:$Q$2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ro_var!$G$5:$Q$5</c:f>
              <c:numCache>
                <c:formatCode>0</c:formatCode>
                <c:ptCount val="11"/>
                <c:pt idx="0">
                  <c:v>41.930454688016205</c:v>
                </c:pt>
                <c:pt idx="1">
                  <c:v>46.548581709033208</c:v>
                </c:pt>
                <c:pt idx="2">
                  <c:v>51.994213660709832</c:v>
                </c:pt>
                <c:pt idx="3">
                  <c:v>58.493876043434838</c:v>
                </c:pt>
                <c:pt idx="4">
                  <c:v>66.353261996614947</c:v>
                </c:pt>
                <c:pt idx="5">
                  <c:v>76.009248964767522</c:v>
                </c:pt>
                <c:pt idx="6">
                  <c:v>88.115154200169584</c:v>
                </c:pt>
                <c:pt idx="7">
                  <c:v>103.71276643317931</c:v>
                </c:pt>
                <c:pt idx="8">
                  <c:v>124.63557676733839</c:v>
                </c:pt>
                <c:pt idx="9">
                  <c:v>154.71781183584213</c:v>
                </c:pt>
                <c:pt idx="10">
                  <c:v>205.86967149202843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E5C1-4131-898F-874A5AA66C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23872"/>
        <c:axId val="148226048"/>
      </c:scatterChart>
      <c:valAx>
        <c:axId val="14822387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1410116792647511"/>
              <c:y val="0.82821227808249298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48226048"/>
        <c:crosses val="autoZero"/>
        <c:crossBetween val="midCat"/>
        <c:majorUnit val="1.0000000000000005E-2"/>
      </c:valAx>
      <c:valAx>
        <c:axId val="148226048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с</a:t>
                </a:r>
              </a:p>
            </c:rich>
          </c:tx>
          <c:layout>
            <c:manualLayout>
              <c:xMode val="edge"/>
              <c:yMode val="edge"/>
              <c:x val="7.393570870035597E-2"/>
              <c:y val="1.2509050629547424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48223872"/>
        <c:crosses val="autoZero"/>
        <c:crossBetween val="midCat"/>
      </c:valAx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29</xdr:row>
      <xdr:rowOff>137432</xdr:rowOff>
    </xdr:from>
    <xdr:to>
      <xdr:col>8</xdr:col>
      <xdr:colOff>123264</xdr:colOff>
      <xdr:row>44</xdr:row>
      <xdr:rowOff>168088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380998</xdr:colOff>
      <xdr:row>29</xdr:row>
      <xdr:rowOff>178493</xdr:rowOff>
    </xdr:from>
    <xdr:to>
      <xdr:col>17</xdr:col>
      <xdr:colOff>11205</xdr:colOff>
      <xdr:row>44</xdr:row>
      <xdr:rowOff>112058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201385</xdr:colOff>
      <xdr:row>45</xdr:row>
      <xdr:rowOff>87086</xdr:rowOff>
    </xdr:from>
    <xdr:to>
      <xdr:col>7</xdr:col>
      <xdr:colOff>210910</xdr:colOff>
      <xdr:row>66</xdr:row>
      <xdr:rowOff>39461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435429</xdr:colOff>
      <xdr:row>45</xdr:row>
      <xdr:rowOff>76200</xdr:rowOff>
    </xdr:from>
    <xdr:to>
      <xdr:col>14</xdr:col>
      <xdr:colOff>594632</xdr:colOff>
      <xdr:row>66</xdr:row>
      <xdr:rowOff>28575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372675</xdr:colOff>
      <xdr:row>30</xdr:row>
      <xdr:rowOff>141834</xdr:rowOff>
    </xdr:from>
    <xdr:to>
      <xdr:col>28</xdr:col>
      <xdr:colOff>527396</xdr:colOff>
      <xdr:row>55</xdr:row>
      <xdr:rowOff>143195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144780</xdr:colOff>
          <xdr:row>16</xdr:row>
          <xdr:rowOff>7620</xdr:rowOff>
        </xdr:from>
        <xdr:to>
          <xdr:col>3</xdr:col>
          <xdr:colOff>472440</xdr:colOff>
          <xdr:row>19</xdr:row>
          <xdr:rowOff>53340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</xdr:colOff>
      <xdr:row>30</xdr:row>
      <xdr:rowOff>4286</xdr:rowOff>
    </xdr:from>
    <xdr:to>
      <xdr:col>7</xdr:col>
      <xdr:colOff>49529</xdr:colOff>
      <xdr:row>47</xdr:row>
      <xdr:rowOff>87629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207645</xdr:colOff>
      <xdr:row>30</xdr:row>
      <xdr:rowOff>17145</xdr:rowOff>
    </xdr:from>
    <xdr:to>
      <xdr:col>14</xdr:col>
      <xdr:colOff>386238</xdr:colOff>
      <xdr:row>47</xdr:row>
      <xdr:rowOff>121921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81915</xdr:colOff>
      <xdr:row>48</xdr:row>
      <xdr:rowOff>47625</xdr:rowOff>
    </xdr:from>
    <xdr:to>
      <xdr:col>7</xdr:col>
      <xdr:colOff>91440</xdr:colOff>
      <xdr:row>69</xdr:row>
      <xdr:rowOff>100693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180975</xdr:colOff>
      <xdr:row>48</xdr:row>
      <xdr:rowOff>72390</xdr:rowOff>
    </xdr:from>
    <xdr:to>
      <xdr:col>14</xdr:col>
      <xdr:colOff>342900</xdr:colOff>
      <xdr:row>69</xdr:row>
      <xdr:rowOff>125458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534830</xdr:colOff>
      <xdr:row>30</xdr:row>
      <xdr:rowOff>20002</xdr:rowOff>
    </xdr:from>
    <xdr:to>
      <xdr:col>24</xdr:col>
      <xdr:colOff>61641</xdr:colOff>
      <xdr:row>55</xdr:row>
      <xdr:rowOff>92801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160020</xdr:colOff>
          <xdr:row>16</xdr:row>
          <xdr:rowOff>0</xdr:rowOff>
        </xdr:from>
        <xdr:to>
          <xdr:col>4</xdr:col>
          <xdr:colOff>114300</xdr:colOff>
          <xdr:row>19</xdr:row>
          <xdr:rowOff>106680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1:V29"/>
  <sheetViews>
    <sheetView zoomScaleNormal="100" workbookViewId="0">
      <selection activeCell="K25" sqref="K25"/>
    </sheetView>
  </sheetViews>
  <sheetFormatPr defaultRowHeight="14.4" x14ac:dyDescent="0.3"/>
  <cols>
    <col min="7" max="7" width="11.109375" bestFit="1" customWidth="1"/>
  </cols>
  <sheetData>
    <row r="1" spans="2:17" x14ac:dyDescent="0.3">
      <c r="B1" s="2"/>
      <c r="C1" s="2"/>
      <c r="D1" s="2"/>
      <c r="E1" s="2"/>
      <c r="F1" s="22" t="s">
        <v>26</v>
      </c>
      <c r="G1" s="4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</row>
    <row r="2" spans="2:17" x14ac:dyDescent="0.3">
      <c r="B2" s="2"/>
      <c r="C2" s="2"/>
      <c r="D2" s="2"/>
      <c r="E2" s="2"/>
      <c r="F2" s="3" t="s">
        <v>9</v>
      </c>
      <c r="G2" s="5">
        <v>0</v>
      </c>
      <c r="H2" s="5">
        <f>G2+$C$4</f>
        <v>0.01</v>
      </c>
      <c r="I2" s="5">
        <f t="shared" ref="I2:Q2" si="0">H2+$C$4</f>
        <v>0.02</v>
      </c>
      <c r="J2" s="5">
        <f t="shared" si="0"/>
        <v>0.03</v>
      </c>
      <c r="K2" s="5">
        <f t="shared" si="0"/>
        <v>0.04</v>
      </c>
      <c r="L2" s="5">
        <f t="shared" si="0"/>
        <v>0.05</v>
      </c>
      <c r="M2" s="5">
        <f t="shared" si="0"/>
        <v>6.0000000000000005E-2</v>
      </c>
      <c r="N2" s="5">
        <f t="shared" si="0"/>
        <v>7.0000000000000007E-2</v>
      </c>
      <c r="O2" s="5">
        <f t="shared" si="0"/>
        <v>0.08</v>
      </c>
      <c r="P2" s="5">
        <f t="shared" si="0"/>
        <v>0.09</v>
      </c>
      <c r="Q2" s="5">
        <f t="shared" si="0"/>
        <v>9.9999999999999992E-2</v>
      </c>
    </row>
    <row r="3" spans="2:17" x14ac:dyDescent="0.3">
      <c r="B3" s="3" t="s">
        <v>0</v>
      </c>
      <c r="C3" s="3">
        <v>0.1</v>
      </c>
      <c r="D3" s="2"/>
      <c r="E3" s="2"/>
      <c r="F3" s="3" t="s">
        <v>3</v>
      </c>
      <c r="G3" s="6">
        <v>0.08</v>
      </c>
      <c r="H3" s="7">
        <f>G3+($Q$3-$G$3)/10</f>
        <v>7.5999999999999998E-2</v>
      </c>
      <c r="I3" s="7">
        <f t="shared" ref="I3:P3" si="1">H3+($Q$3-$G$3)/10</f>
        <v>7.1999999999999995E-2</v>
      </c>
      <c r="J3" s="7">
        <f t="shared" si="1"/>
        <v>6.7999999999999991E-2</v>
      </c>
      <c r="K3" s="7">
        <f t="shared" si="1"/>
        <v>6.3999999999999987E-2</v>
      </c>
      <c r="L3" s="7">
        <f t="shared" si="1"/>
        <v>5.9999999999999984E-2</v>
      </c>
      <c r="M3" s="7">
        <f t="shared" si="1"/>
        <v>5.599999999999998E-2</v>
      </c>
      <c r="N3" s="7">
        <f t="shared" si="1"/>
        <v>5.1999999999999977E-2</v>
      </c>
      <c r="O3" s="7">
        <f t="shared" si="1"/>
        <v>4.7999999999999973E-2</v>
      </c>
      <c r="P3" s="7">
        <f t="shared" si="1"/>
        <v>4.399999999999997E-2</v>
      </c>
      <c r="Q3" s="6">
        <v>0.04</v>
      </c>
    </row>
    <row r="4" spans="2:17" x14ac:dyDescent="0.3">
      <c r="B4" s="3" t="s">
        <v>1</v>
      </c>
      <c r="C4" s="3">
        <f>C3/10</f>
        <v>0.01</v>
      </c>
      <c r="D4" s="2"/>
      <c r="E4" s="2"/>
      <c r="F4" s="3" t="s">
        <v>10</v>
      </c>
      <c r="G4" s="8">
        <f>(PI()*(2*G3)^2)/4</f>
        <v>2.0106192982974676E-2</v>
      </c>
      <c r="H4" s="8">
        <f t="shared" ref="H4:Q4" si="2">(PI()*(2*H3)^2)/4</f>
        <v>1.8145839167134643E-2</v>
      </c>
      <c r="I4" s="8">
        <f t="shared" si="2"/>
        <v>1.6286016316209486E-2</v>
      </c>
      <c r="J4" s="8">
        <f t="shared" si="2"/>
        <v>1.4526724430199199E-2</v>
      </c>
      <c r="K4" s="8">
        <f t="shared" si="2"/>
        <v>1.2867963509103787E-2</v>
      </c>
      <c r="L4" s="8">
        <f t="shared" si="2"/>
        <v>1.1309733552923249E-2</v>
      </c>
      <c r="M4" s="8">
        <f t="shared" si="2"/>
        <v>9.8520345616575841E-3</v>
      </c>
      <c r="N4" s="8">
        <f t="shared" si="2"/>
        <v>8.4948665353067939E-3</v>
      </c>
      <c r="O4" s="8">
        <f t="shared" si="2"/>
        <v>7.2382294738708754E-3</v>
      </c>
      <c r="P4" s="8">
        <f t="shared" si="2"/>
        <v>6.0821233773498311E-3</v>
      </c>
      <c r="Q4" s="8">
        <f t="shared" si="2"/>
        <v>5.0265482457436689E-3</v>
      </c>
    </row>
    <row r="5" spans="2:17" x14ac:dyDescent="0.3">
      <c r="B5" s="2"/>
      <c r="C5" s="2"/>
      <c r="D5" s="2"/>
      <c r="E5" s="2"/>
      <c r="F5" s="9" t="s">
        <v>11</v>
      </c>
      <c r="G5" s="10">
        <v>57.428250355679211</v>
      </c>
      <c r="H5" s="10">
        <v>63.632410337108162</v>
      </c>
      <c r="I5" s="10">
        <v>70.89907268865565</v>
      </c>
      <c r="J5" s="10">
        <v>79.485464209087965</v>
      </c>
      <c r="K5" s="10">
        <v>89.731636459413522</v>
      </c>
      <c r="L5" s="10">
        <v>102.09466159285526</v>
      </c>
      <c r="M5" s="10">
        <v>117.20050456973416</v>
      </c>
      <c r="N5" s="10">
        <v>135.92484615950946</v>
      </c>
      <c r="O5" s="10">
        <v>159.52291059141209</v>
      </c>
      <c r="P5" s="10">
        <v>189.84544813083312</v>
      </c>
      <c r="Q5" s="10">
        <v>229.71299270658579</v>
      </c>
    </row>
    <row r="6" spans="2:17" x14ac:dyDescent="0.3">
      <c r="B6" s="11" t="s">
        <v>2</v>
      </c>
      <c r="C6" s="11">
        <v>1.4</v>
      </c>
      <c r="D6" s="2"/>
      <c r="E6" s="2"/>
      <c r="F6" s="9" t="s">
        <v>12</v>
      </c>
      <c r="G6" s="10">
        <v>133045.93266619311</v>
      </c>
      <c r="H6" s="10">
        <v>132578.11167090648</v>
      </c>
      <c r="I6" s="10">
        <v>131967.60012203871</v>
      </c>
      <c r="J6" s="10">
        <v>131158.8455452167</v>
      </c>
      <c r="K6" s="10">
        <v>130069.349669505</v>
      </c>
      <c r="L6" s="10">
        <v>128573.64401212196</v>
      </c>
      <c r="M6" s="10">
        <v>126475.70529524123</v>
      </c>
      <c r="N6" s="10">
        <v>123459.75794292716</v>
      </c>
      <c r="O6" s="10">
        <v>118998.9061138324</v>
      </c>
      <c r="P6" s="10">
        <v>112177.34017633475</v>
      </c>
      <c r="Q6" s="10">
        <v>101325</v>
      </c>
    </row>
    <row r="7" spans="2:17" x14ac:dyDescent="0.3">
      <c r="B7" s="11" t="s">
        <v>3</v>
      </c>
      <c r="C7" s="11">
        <v>286.97199999999998</v>
      </c>
      <c r="D7" s="2"/>
      <c r="E7" s="2"/>
      <c r="F7" s="9" t="s">
        <v>13</v>
      </c>
      <c r="G7" s="12">
        <v>1.1850000000000001</v>
      </c>
      <c r="H7" s="12">
        <v>1.1850000000000001</v>
      </c>
      <c r="I7" s="12">
        <v>1.1850000000000001</v>
      </c>
      <c r="J7" s="12">
        <v>1.1850000000000001</v>
      </c>
      <c r="K7" s="12">
        <v>1.1850000000000001</v>
      </c>
      <c r="L7" s="12">
        <v>1.1850000000000001</v>
      </c>
      <c r="M7" s="12">
        <v>1.1850000000000001</v>
      </c>
      <c r="N7" s="12">
        <v>1.1850000000000001</v>
      </c>
      <c r="O7" s="12">
        <v>1.1850000000000001</v>
      </c>
      <c r="P7" s="12">
        <v>1.1850000000000001</v>
      </c>
      <c r="Q7" s="12">
        <v>1.1850000000000001</v>
      </c>
    </row>
    <row r="8" spans="2:17" x14ac:dyDescent="0.3">
      <c r="B8" s="11" t="s">
        <v>4</v>
      </c>
      <c r="C8" s="11">
        <f>C7*(C6/(C6-1))</f>
        <v>1004.402</v>
      </c>
      <c r="D8" s="2"/>
      <c r="E8" s="2"/>
      <c r="F8" s="13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</row>
    <row r="9" spans="2:17" x14ac:dyDescent="0.3">
      <c r="B9" s="2"/>
      <c r="C9" s="2"/>
      <c r="D9" s="2"/>
      <c r="E9" s="2"/>
      <c r="F9" s="3" t="s">
        <v>14</v>
      </c>
      <c r="G9" s="7">
        <f>G4*G7*G12</f>
        <v>1.3682762282962226</v>
      </c>
      <c r="H9" s="7">
        <f>H4*H7*H12</f>
        <v>1.3682762276703158</v>
      </c>
      <c r="I9" s="7">
        <f t="shared" ref="I9:Q9" si="3">I4*I7*I12</f>
        <v>1.3682761933106795</v>
      </c>
      <c r="J9" s="7">
        <f t="shared" si="3"/>
        <v>1.3682761699763411</v>
      </c>
      <c r="K9" s="7">
        <f t="shared" si="3"/>
        <v>1.3682761568325768</v>
      </c>
      <c r="L9" s="7">
        <f t="shared" si="3"/>
        <v>1.3682761524345008</v>
      </c>
      <c r="M9" s="7">
        <f t="shared" si="3"/>
        <v>1.3682761546959754</v>
      </c>
      <c r="N9" s="7">
        <f t="shared" si="3"/>
        <v>1.3682761609764142</v>
      </c>
      <c r="O9" s="7">
        <f t="shared" si="3"/>
        <v>1.3682761683636357</v>
      </c>
      <c r="P9" s="7">
        <f t="shared" si="3"/>
        <v>1.368276174223594</v>
      </c>
      <c r="Q9" s="7">
        <f t="shared" si="3"/>
        <v>1.3682761770017497</v>
      </c>
    </row>
    <row r="10" spans="2:17" x14ac:dyDescent="0.3">
      <c r="B10" s="15" t="s">
        <v>5</v>
      </c>
      <c r="C10" s="15">
        <v>135000</v>
      </c>
      <c r="D10" s="2"/>
      <c r="E10" s="2"/>
      <c r="F10" s="3" t="s">
        <v>15</v>
      </c>
      <c r="G10" s="16">
        <f>(G12)*(G9-H9)</f>
        <v>3.5944737095355443E-8</v>
      </c>
      <c r="H10" s="16">
        <f>(H12)*(H9-I9)</f>
        <v>2.186386471722869E-6</v>
      </c>
      <c r="I10" s="16">
        <f t="shared" ref="I10:P10" si="4">(I12)*(I9-J9)</f>
        <v>1.6543829582327335E-6</v>
      </c>
      <c r="J10" s="16">
        <f t="shared" si="4"/>
        <v>1.0447382066002364E-6</v>
      </c>
      <c r="K10" s="16">
        <f t="shared" si="4"/>
        <v>3.9464654806190623E-7</v>
      </c>
      <c r="L10" s="16">
        <f t="shared" si="4"/>
        <v>-2.3088448022466393E-7</v>
      </c>
      <c r="M10" s="16">
        <f t="shared" si="4"/>
        <v>-7.3607060047118432E-7</v>
      </c>
      <c r="N10" s="16">
        <f t="shared" si="4"/>
        <v>-1.0041069461172135E-6</v>
      </c>
      <c r="O10" s="16">
        <f t="shared" si="4"/>
        <v>-9.3479760339784589E-7</v>
      </c>
      <c r="P10" s="16">
        <f t="shared" si="4"/>
        <v>-5.2742021488659508E-7</v>
      </c>
      <c r="Q10" s="17">
        <v>0</v>
      </c>
    </row>
    <row r="11" spans="2:17" x14ac:dyDescent="0.3">
      <c r="B11" s="15" t="s">
        <v>6</v>
      </c>
      <c r="C11" s="15">
        <v>288.16000000000003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  <row r="12" spans="2:17" x14ac:dyDescent="0.3">
      <c r="B12" s="15" t="s">
        <v>12</v>
      </c>
      <c r="C12" s="15">
        <v>101325</v>
      </c>
      <c r="D12" s="2"/>
      <c r="E12" s="2"/>
      <c r="F12" s="3" t="s">
        <v>11</v>
      </c>
      <c r="G12" s="18">
        <f>(H4*H5*H7)/(G4*G7)</f>
        <v>57.428250329240115</v>
      </c>
      <c r="H12" s="5">
        <f>((G6-H6)/H7+G5*H5)^0.5</f>
        <v>63.63241030800004</v>
      </c>
      <c r="I12" s="5">
        <f t="shared" ref="I12:Q12" si="5">((H6-I6)/I7+H5*I5)^0.5</f>
        <v>70.899072667720347</v>
      </c>
      <c r="J12" s="5">
        <f t="shared" si="5"/>
        <v>79.485464195823354</v>
      </c>
      <c r="K12" s="5">
        <f t="shared" si="5"/>
        <v>89.731636452847326</v>
      </c>
      <c r="L12" s="5">
        <f t="shared" si="5"/>
        <v>102.09466159151926</v>
      </c>
      <c r="M12" s="5">
        <f t="shared" si="5"/>
        <v>117.20050457172755</v>
      </c>
      <c r="N12" s="5">
        <f t="shared" si="5"/>
        <v>135.92484616270843</v>
      </c>
      <c r="O12" s="5">
        <f t="shared" si="5"/>
        <v>159.52291059387545</v>
      </c>
      <c r="P12" s="5">
        <f t="shared" si="5"/>
        <v>189.84544813138811</v>
      </c>
      <c r="Q12" s="5">
        <f t="shared" si="5"/>
        <v>229.71299270538987</v>
      </c>
    </row>
    <row r="13" spans="2:17" x14ac:dyDescent="0.3">
      <c r="B13" s="2"/>
      <c r="C13" s="2"/>
      <c r="D13" s="2"/>
      <c r="E13" s="2"/>
      <c r="F13" s="3" t="s">
        <v>12</v>
      </c>
      <c r="G13" s="19">
        <f>C10-(G7*G12^2)/2</f>
        <v>133045.93266799237</v>
      </c>
      <c r="H13" s="4">
        <f>H6+H10</f>
        <v>132578.11167309288</v>
      </c>
      <c r="I13" s="4">
        <f t="shared" ref="I13:P13" si="6">I6+I10</f>
        <v>131967.60012369309</v>
      </c>
      <c r="J13" s="4">
        <f t="shared" si="6"/>
        <v>131158.84554626144</v>
      </c>
      <c r="K13" s="4">
        <f t="shared" si="6"/>
        <v>130069.34966989965</v>
      </c>
      <c r="L13" s="4">
        <f t="shared" si="6"/>
        <v>128573.64401189108</v>
      </c>
      <c r="M13" s="4">
        <f t="shared" si="6"/>
        <v>126475.70529450517</v>
      </c>
      <c r="N13" s="4">
        <f t="shared" si="6"/>
        <v>123459.75794192305</v>
      </c>
      <c r="O13" s="4">
        <f t="shared" si="6"/>
        <v>118998.9061128976</v>
      </c>
      <c r="P13" s="4">
        <f t="shared" si="6"/>
        <v>112177.34017580733</v>
      </c>
      <c r="Q13" s="19">
        <f>Q6+Q10</f>
        <v>101325</v>
      </c>
    </row>
    <row r="14" spans="2:17" x14ac:dyDescent="0.3">
      <c r="B14" s="20" t="s">
        <v>7</v>
      </c>
      <c r="C14" s="20">
        <v>2100</v>
      </c>
      <c r="D14" s="2">
        <v>2100</v>
      </c>
      <c r="E14" s="2"/>
      <c r="F14" s="3" t="s">
        <v>13</v>
      </c>
      <c r="G14" s="7">
        <v>1.1850000000000001</v>
      </c>
      <c r="H14" s="7">
        <v>1.1850000000000001</v>
      </c>
      <c r="I14" s="7">
        <v>1.1850000000000001</v>
      </c>
      <c r="J14" s="7">
        <v>1.1850000000000001</v>
      </c>
      <c r="K14" s="7">
        <v>1.1850000000000001</v>
      </c>
      <c r="L14" s="7">
        <v>1.1850000000000001</v>
      </c>
      <c r="M14" s="7">
        <v>1.1850000000000001</v>
      </c>
      <c r="N14" s="7">
        <v>1.1850000000000001</v>
      </c>
      <c r="O14" s="7">
        <v>1.1850000000000001</v>
      </c>
      <c r="P14" s="7">
        <v>1.1850000000000001</v>
      </c>
      <c r="Q14" s="7">
        <v>1.1850000000000001</v>
      </c>
    </row>
    <row r="15" spans="2:17" x14ac:dyDescent="0.3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</row>
    <row r="16" spans="2:17" x14ac:dyDescent="0.3">
      <c r="B16" s="2"/>
      <c r="C16" s="2"/>
      <c r="D16" s="2"/>
      <c r="E16" s="2"/>
      <c r="F16" s="3" t="s">
        <v>16</v>
      </c>
      <c r="G16" s="3">
        <f>$C$11-(G12^2)/(2*$C$8)</f>
        <v>286.51822512506055</v>
      </c>
      <c r="H16" s="3">
        <f t="shared" ref="H16:Q16" si="7">$C$11-(H12^2)/(2*$C$8)</f>
        <v>286.14433115345969</v>
      </c>
      <c r="I16" s="3">
        <f t="shared" si="7"/>
        <v>285.65767597777449</v>
      </c>
      <c r="J16" s="3">
        <f t="shared" si="7"/>
        <v>285.0148753295864</v>
      </c>
      <c r="K16" s="3">
        <f t="shared" si="7"/>
        <v>284.15176097792221</v>
      </c>
      <c r="L16" s="3">
        <f t="shared" si="7"/>
        <v>282.97118121753704</v>
      </c>
      <c r="M16" s="3">
        <f t="shared" si="7"/>
        <v>281.32212120651519</v>
      </c>
      <c r="N16" s="3">
        <f t="shared" si="7"/>
        <v>278.96270459220716</v>
      </c>
      <c r="O16" s="3">
        <f t="shared" si="7"/>
        <v>275.49198509942158</v>
      </c>
      <c r="P16" s="3">
        <f t="shared" si="7"/>
        <v>270.21833213384309</v>
      </c>
      <c r="Q16" s="3">
        <f t="shared" si="7"/>
        <v>261.89160397048869</v>
      </c>
    </row>
    <row r="17" spans="2:22" x14ac:dyDescent="0.3">
      <c r="B17" s="2"/>
      <c r="C17" s="2"/>
      <c r="D17" s="2"/>
      <c r="E17" s="2"/>
      <c r="F17" s="3" t="s">
        <v>17</v>
      </c>
      <c r="G17" s="3">
        <f>SQRT($C$6*$C$7*G16)</f>
        <v>339.28128645833743</v>
      </c>
      <c r="H17" s="3">
        <f t="shared" ref="H17:Q17" si="8">SQRT($C$6*$C$7*H16)</f>
        <v>339.05984044070874</v>
      </c>
      <c r="I17" s="3">
        <f t="shared" si="8"/>
        <v>338.77139257465564</v>
      </c>
      <c r="J17" s="3">
        <f t="shared" si="8"/>
        <v>338.39001806246426</v>
      </c>
      <c r="K17" s="3">
        <f t="shared" si="8"/>
        <v>337.87725406114396</v>
      </c>
      <c r="L17" s="3">
        <f t="shared" si="8"/>
        <v>337.17462559169934</v>
      </c>
      <c r="M17" s="3">
        <f t="shared" si="8"/>
        <v>336.19072038595368</v>
      </c>
      <c r="N17" s="3">
        <f t="shared" si="8"/>
        <v>334.7779553183405</v>
      </c>
      <c r="O17" s="3">
        <f t="shared" si="8"/>
        <v>332.68886414656515</v>
      </c>
      <c r="P17" s="3">
        <f t="shared" si="8"/>
        <v>329.48920057075998</v>
      </c>
      <c r="Q17" s="3">
        <f t="shared" si="8"/>
        <v>324.37290319085946</v>
      </c>
    </row>
    <row r="18" spans="2:22" x14ac:dyDescent="0.3">
      <c r="B18" s="2"/>
      <c r="C18" s="2"/>
      <c r="D18" s="2"/>
      <c r="E18" s="2"/>
      <c r="F18" s="3" t="s">
        <v>18</v>
      </c>
      <c r="G18" s="3">
        <f>G12/G17</f>
        <v>0.16926442047163159</v>
      </c>
      <c r="H18" s="3">
        <f t="shared" ref="H18:Q18" si="9">H12/H17</f>
        <v>0.18767309695330142</v>
      </c>
      <c r="I18" s="3">
        <f t="shared" si="9"/>
        <v>0.20928293894265643</v>
      </c>
      <c r="J18" s="3">
        <f t="shared" si="9"/>
        <v>0.23489305225649693</v>
      </c>
      <c r="K18" s="3">
        <f t="shared" si="9"/>
        <v>0.26557465876826691</v>
      </c>
      <c r="L18" s="3">
        <f t="shared" si="9"/>
        <v>0.30279461692099718</v>
      </c>
      <c r="M18" s="3">
        <f t="shared" si="9"/>
        <v>0.34861314564893114</v>
      </c>
      <c r="N18" s="3">
        <f t="shared" si="9"/>
        <v>0.4060149242307709</v>
      </c>
      <c r="O18" s="3">
        <f t="shared" si="9"/>
        <v>0.47949579257211949</v>
      </c>
      <c r="P18" s="3">
        <f t="shared" si="9"/>
        <v>0.57618109425901365</v>
      </c>
      <c r="Q18" s="3">
        <f t="shared" si="9"/>
        <v>0.70817565353240319</v>
      </c>
    </row>
    <row r="19" spans="2:22" x14ac:dyDescent="0.3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</row>
    <row r="20" spans="2:22" x14ac:dyDescent="0.3">
      <c r="B20" s="2"/>
      <c r="C20" s="2"/>
      <c r="D20" s="2"/>
      <c r="E20" s="2"/>
      <c r="F20" s="24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</row>
    <row r="21" spans="2:22" x14ac:dyDescent="0.3">
      <c r="B21" s="2"/>
      <c r="C21" s="2"/>
      <c r="D21" s="2"/>
      <c r="E21" s="2"/>
      <c r="F21" s="25"/>
      <c r="G21" s="25"/>
      <c r="H21" s="25"/>
      <c r="I21" s="25"/>
      <c r="J21" s="25"/>
      <c r="K21" s="25"/>
      <c r="L21" s="3"/>
      <c r="M21" s="3">
        <v>0</v>
      </c>
      <c r="N21" s="3">
        <v>2.5000000000000001E-2</v>
      </c>
      <c r="O21" s="3">
        <v>0.05</v>
      </c>
      <c r="P21" s="3">
        <v>7.4999999999999997E-2</v>
      </c>
      <c r="Q21" s="3">
        <v>0.1</v>
      </c>
    </row>
    <row r="22" spans="2:22" x14ac:dyDescent="0.3">
      <c r="B22" s="2"/>
      <c r="C22" s="2"/>
      <c r="D22" s="2"/>
      <c r="E22" s="2"/>
      <c r="F22" s="24"/>
      <c r="G22" s="25"/>
      <c r="H22" s="25"/>
      <c r="I22" s="25"/>
      <c r="J22" s="25"/>
      <c r="K22" s="25"/>
      <c r="L22" s="22" t="s">
        <v>23</v>
      </c>
      <c r="M22" s="3">
        <v>46.31</v>
      </c>
      <c r="N22" s="3">
        <v>58.19</v>
      </c>
      <c r="O22" s="3">
        <v>80.48</v>
      </c>
      <c r="P22" s="3">
        <v>120.03</v>
      </c>
      <c r="Q22" s="3">
        <v>213.26</v>
      </c>
    </row>
    <row r="23" spans="2:22" x14ac:dyDescent="0.3">
      <c r="B23" s="2"/>
      <c r="C23" s="2"/>
      <c r="D23" s="2"/>
      <c r="E23" s="2"/>
      <c r="F23" s="25"/>
      <c r="G23" s="25"/>
      <c r="H23" s="25"/>
      <c r="I23" s="25"/>
      <c r="J23" s="25"/>
      <c r="K23" s="25"/>
      <c r="L23" s="22" t="s">
        <v>24</v>
      </c>
      <c r="M23" s="3">
        <v>133165</v>
      </c>
      <c r="N23" s="3">
        <v>132230</v>
      </c>
      <c r="O23" s="3">
        <v>129765</v>
      </c>
      <c r="P23" s="3">
        <v>123565</v>
      </c>
      <c r="Q23" s="3">
        <v>101336</v>
      </c>
    </row>
    <row r="24" spans="2:22" x14ac:dyDescent="0.3">
      <c r="L24" s="22" t="s">
        <v>25</v>
      </c>
      <c r="M24" s="3">
        <v>1.387</v>
      </c>
      <c r="N24" s="3"/>
      <c r="O24" s="3"/>
      <c r="P24" s="3"/>
      <c r="Q24" s="3"/>
    </row>
    <row r="26" spans="2:22" x14ac:dyDescent="0.3">
      <c r="V26" s="1"/>
    </row>
    <row r="27" spans="2:22" x14ac:dyDescent="0.3">
      <c r="V27" s="1"/>
    </row>
    <row r="28" spans="2:22" x14ac:dyDescent="0.3">
      <c r="V28" s="1"/>
    </row>
    <row r="29" spans="2:22" x14ac:dyDescent="0.3">
      <c r="V29" s="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ter">
                <anchor moveWithCells="1" sizeWithCells="1">
                  <from>
                    <xdr:col>1</xdr:col>
                    <xdr:colOff>144780</xdr:colOff>
                    <xdr:row>16</xdr:row>
                    <xdr:rowOff>7620</xdr:rowOff>
                  </from>
                  <to>
                    <xdr:col>3</xdr:col>
                    <xdr:colOff>472440</xdr:colOff>
                    <xdr:row>19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B1:Q29"/>
  <sheetViews>
    <sheetView tabSelected="1" zoomScaleNormal="100" workbookViewId="0">
      <selection activeCell="U16" sqref="U16"/>
    </sheetView>
  </sheetViews>
  <sheetFormatPr defaultRowHeight="14.4" x14ac:dyDescent="0.3"/>
  <cols>
    <col min="7" max="7" width="11.109375" bestFit="1" customWidth="1"/>
  </cols>
  <sheetData>
    <row r="1" spans="2:17" x14ac:dyDescent="0.3">
      <c r="B1" s="2"/>
      <c r="C1" s="2"/>
      <c r="D1" s="2"/>
      <c r="E1" s="2"/>
      <c r="F1" s="3" t="s">
        <v>8</v>
      </c>
      <c r="G1" s="4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</row>
    <row r="2" spans="2:17" x14ac:dyDescent="0.3">
      <c r="B2" s="2"/>
      <c r="C2" s="2"/>
      <c r="D2" s="2"/>
      <c r="E2" s="2"/>
      <c r="F2" s="3" t="s">
        <v>9</v>
      </c>
      <c r="G2" s="5">
        <v>0</v>
      </c>
      <c r="H2" s="5">
        <f>G2+$C$4</f>
        <v>0.01</v>
      </c>
      <c r="I2" s="5">
        <f t="shared" ref="I2:Q2" si="0">H2+$C$4</f>
        <v>0.02</v>
      </c>
      <c r="J2" s="5">
        <f t="shared" si="0"/>
        <v>0.03</v>
      </c>
      <c r="K2" s="5">
        <f t="shared" si="0"/>
        <v>0.04</v>
      </c>
      <c r="L2" s="5">
        <f t="shared" si="0"/>
        <v>0.05</v>
      </c>
      <c r="M2" s="5">
        <f t="shared" si="0"/>
        <v>6.0000000000000005E-2</v>
      </c>
      <c r="N2" s="5">
        <f t="shared" si="0"/>
        <v>7.0000000000000007E-2</v>
      </c>
      <c r="O2" s="5">
        <f t="shared" si="0"/>
        <v>0.08</v>
      </c>
      <c r="P2" s="5">
        <f t="shared" si="0"/>
        <v>0.09</v>
      </c>
      <c r="Q2" s="5">
        <f t="shared" si="0"/>
        <v>9.9999999999999992E-2</v>
      </c>
    </row>
    <row r="3" spans="2:17" x14ac:dyDescent="0.3">
      <c r="B3" s="3" t="s">
        <v>0</v>
      </c>
      <c r="C3" s="3">
        <v>0.1</v>
      </c>
      <c r="D3" s="2"/>
      <c r="E3" s="2"/>
      <c r="F3" s="3" t="s">
        <v>3</v>
      </c>
      <c r="G3" s="6">
        <v>0.08</v>
      </c>
      <c r="H3" s="7">
        <f>G3+($Q$3-$G$3)/10</f>
        <v>7.5999999999999998E-2</v>
      </c>
      <c r="I3" s="7">
        <f t="shared" ref="I3:P3" si="1">H3+($Q$3-$G$3)/10</f>
        <v>7.1999999999999995E-2</v>
      </c>
      <c r="J3" s="7">
        <f t="shared" si="1"/>
        <v>6.7999999999999991E-2</v>
      </c>
      <c r="K3" s="7">
        <f t="shared" si="1"/>
        <v>6.3999999999999987E-2</v>
      </c>
      <c r="L3" s="7">
        <f t="shared" si="1"/>
        <v>5.9999999999999984E-2</v>
      </c>
      <c r="M3" s="7">
        <f t="shared" si="1"/>
        <v>5.599999999999998E-2</v>
      </c>
      <c r="N3" s="7">
        <f t="shared" si="1"/>
        <v>5.1999999999999977E-2</v>
      </c>
      <c r="O3" s="7">
        <f t="shared" si="1"/>
        <v>4.7999999999999973E-2</v>
      </c>
      <c r="P3" s="7">
        <f t="shared" si="1"/>
        <v>4.399999999999997E-2</v>
      </c>
      <c r="Q3" s="6">
        <v>0.04</v>
      </c>
    </row>
    <row r="4" spans="2:17" x14ac:dyDescent="0.3">
      <c r="B4" s="3" t="s">
        <v>1</v>
      </c>
      <c r="C4" s="3">
        <f>C3/10</f>
        <v>0.01</v>
      </c>
      <c r="D4" s="2"/>
      <c r="E4" s="2"/>
      <c r="F4" s="3" t="s">
        <v>10</v>
      </c>
      <c r="G4" s="8">
        <f>(PI()*(2*G3)^2)/4</f>
        <v>2.0106192982974676E-2</v>
      </c>
      <c r="H4" s="8">
        <f t="shared" ref="H4:Q4" si="2">(PI()*(2*H3)^2)/4</f>
        <v>1.8145839167134643E-2</v>
      </c>
      <c r="I4" s="8">
        <f t="shared" si="2"/>
        <v>1.6286016316209486E-2</v>
      </c>
      <c r="J4" s="8">
        <f t="shared" si="2"/>
        <v>1.4526724430199199E-2</v>
      </c>
      <c r="K4" s="8">
        <f t="shared" si="2"/>
        <v>1.2867963509103787E-2</v>
      </c>
      <c r="L4" s="8">
        <f t="shared" si="2"/>
        <v>1.1309733552923249E-2</v>
      </c>
      <c r="M4" s="8">
        <f t="shared" si="2"/>
        <v>9.8520345616575841E-3</v>
      </c>
      <c r="N4" s="8">
        <f t="shared" si="2"/>
        <v>8.4948665353067939E-3</v>
      </c>
      <c r="O4" s="8">
        <f t="shared" si="2"/>
        <v>7.2382294738708754E-3</v>
      </c>
      <c r="P4" s="8">
        <f t="shared" si="2"/>
        <v>6.0821233773498311E-3</v>
      </c>
      <c r="Q4" s="8">
        <f t="shared" si="2"/>
        <v>5.0265482457436689E-3</v>
      </c>
    </row>
    <row r="5" spans="2:17" x14ac:dyDescent="0.3">
      <c r="B5" s="2"/>
      <c r="C5" s="2"/>
      <c r="D5" s="2"/>
      <c r="E5" s="2"/>
      <c r="F5" s="9" t="s">
        <v>11</v>
      </c>
      <c r="G5" s="10">
        <v>41.930454688016205</v>
      </c>
      <c r="H5" s="10">
        <v>46.548581709033208</v>
      </c>
      <c r="I5" s="10">
        <v>51.994213660709832</v>
      </c>
      <c r="J5" s="10">
        <v>58.493876043434838</v>
      </c>
      <c r="K5" s="10">
        <v>66.353261996614947</v>
      </c>
      <c r="L5" s="10">
        <v>76.009248964767522</v>
      </c>
      <c r="M5" s="10">
        <v>88.115154200169584</v>
      </c>
      <c r="N5" s="10">
        <v>103.71276643317931</v>
      </c>
      <c r="O5" s="10">
        <v>124.63557676733839</v>
      </c>
      <c r="P5" s="10">
        <v>154.71781183584213</v>
      </c>
      <c r="Q5" s="10">
        <v>205.86967149202843</v>
      </c>
    </row>
    <row r="6" spans="2:17" x14ac:dyDescent="0.3">
      <c r="B6" s="11" t="s">
        <v>2</v>
      </c>
      <c r="C6" s="11">
        <v>1.4</v>
      </c>
      <c r="D6" s="2"/>
      <c r="E6" s="2"/>
      <c r="F6" s="9" t="s">
        <v>12</v>
      </c>
      <c r="G6" s="10">
        <v>133575.69025755001</v>
      </c>
      <c r="H6" s="10">
        <v>133228.05569621688</v>
      </c>
      <c r="I6" s="10">
        <v>132771.30446114283</v>
      </c>
      <c r="J6" s="10">
        <v>132160.04965306472</v>
      </c>
      <c r="K6" s="10">
        <v>131325.47706169411</v>
      </c>
      <c r="L6" s="10">
        <v>130158.56251876475</v>
      </c>
      <c r="M6" s="10">
        <v>128478.65101798151</v>
      </c>
      <c r="N6" s="10">
        <v>125967.72768659318</v>
      </c>
      <c r="O6" s="10">
        <v>122013.89711203439</v>
      </c>
      <c r="P6" s="10">
        <v>115247.57469082212</v>
      </c>
      <c r="Q6" s="10">
        <v>101325</v>
      </c>
    </row>
    <row r="7" spans="2:17" x14ac:dyDescent="0.3">
      <c r="B7" s="11" t="s">
        <v>3</v>
      </c>
      <c r="C7" s="11">
        <v>286.97199999999998</v>
      </c>
      <c r="D7" s="2"/>
      <c r="E7" s="2"/>
      <c r="F7" s="9" t="s">
        <v>13</v>
      </c>
      <c r="G7" s="12">
        <v>1.6202248829416115</v>
      </c>
      <c r="H7" s="12">
        <v>1.6171532059198224</v>
      </c>
      <c r="I7" s="12">
        <v>1.6131101010283342</v>
      </c>
      <c r="J7" s="12">
        <v>1.6076875075715111</v>
      </c>
      <c r="K7" s="12">
        <v>1.6002639218420132</v>
      </c>
      <c r="L7" s="12">
        <v>1.5898489662391266</v>
      </c>
      <c r="M7" s="12">
        <v>1.5747891511190086</v>
      </c>
      <c r="N7" s="12">
        <v>1.5521442127386142</v>
      </c>
      <c r="O7" s="12">
        <v>1.5161770074928149</v>
      </c>
      <c r="P7" s="12">
        <v>1.453784246767301</v>
      </c>
      <c r="Q7" s="12">
        <v>1.3221035039464588</v>
      </c>
    </row>
    <row r="8" spans="2:17" x14ac:dyDescent="0.3">
      <c r="B8" s="11" t="s">
        <v>4</v>
      </c>
      <c r="C8" s="11">
        <f>C7*(C6/(C6-1))</f>
        <v>1004.402</v>
      </c>
      <c r="D8" s="2"/>
      <c r="E8" s="2"/>
      <c r="F8" s="13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</row>
    <row r="9" spans="2:17" x14ac:dyDescent="0.3">
      <c r="B9" s="2"/>
      <c r="C9" s="2"/>
      <c r="D9" s="2"/>
      <c r="E9" s="2"/>
      <c r="F9" s="3" t="s">
        <v>14</v>
      </c>
      <c r="G9" s="7">
        <f>G4*G7*G12</f>
        <v>1.3659496031357778</v>
      </c>
      <c r="H9" s="7">
        <f>H4*H7*H12</f>
        <v>1.3659495179269459</v>
      </c>
      <c r="I9" s="7">
        <f t="shared" ref="I9:Q9" si="3">I4*I7*I12</f>
        <v>1.3659491779904394</v>
      </c>
      <c r="J9" s="7">
        <f t="shared" si="3"/>
        <v>1.3660947315184842</v>
      </c>
      <c r="K9" s="7">
        <f t="shared" si="3"/>
        <v>1.3663595377415811</v>
      </c>
      <c r="L9" s="7">
        <f t="shared" si="3"/>
        <v>1.3667086986257231</v>
      </c>
      <c r="M9" s="7">
        <f t="shared" si="3"/>
        <v>1.3670992763729681</v>
      </c>
      <c r="N9" s="7">
        <f t="shared" si="3"/>
        <v>1.3674821911206905</v>
      </c>
      <c r="O9" s="7">
        <f t="shared" si="3"/>
        <v>1.3678069114583604</v>
      </c>
      <c r="P9" s="7">
        <f t="shared" si="3"/>
        <v>1.3680303229529034</v>
      </c>
      <c r="Q9" s="7">
        <f t="shared" si="3"/>
        <v>1.3681311165543479</v>
      </c>
    </row>
    <row r="10" spans="2:17" x14ac:dyDescent="0.3">
      <c r="B10" s="15" t="s">
        <v>5</v>
      </c>
      <c r="C10" s="15">
        <v>135000</v>
      </c>
      <c r="D10" s="2"/>
      <c r="E10" s="2"/>
      <c r="F10" s="3" t="s">
        <v>15</v>
      </c>
      <c r="G10" s="16">
        <f>(G12)*(G9-H9)</f>
        <v>3.5728447405874559E-6</v>
      </c>
      <c r="H10" s="16">
        <f>(H12)*(H9-I9)</f>
        <v>1.5823561261583061E-5</v>
      </c>
      <c r="I10" s="16">
        <f t="shared" ref="I10:P10" si="4">(I12)*(I9-J9)</f>
        <v>-7.5679525697186249E-3</v>
      </c>
      <c r="J10" s="16">
        <f t="shared" si="4"/>
        <v>-1.5489580936027742E-2</v>
      </c>
      <c r="K10" s="16">
        <f t="shared" si="4"/>
        <v>-2.3168031897312924E-2</v>
      </c>
      <c r="L10" s="16">
        <f t="shared" si="4"/>
        <v>-2.9687608381605786E-2</v>
      </c>
      <c r="M10" s="16">
        <f t="shared" si="4"/>
        <v>-3.3740678038253348E-2</v>
      </c>
      <c r="N10" s="16">
        <f t="shared" si="4"/>
        <v>-3.3677708937518133E-2</v>
      </c>
      <c r="O10" s="16">
        <f t="shared" si="4"/>
        <v>-2.7845053323500405E-2</v>
      </c>
      <c r="P10" s="16">
        <f t="shared" si="4"/>
        <v>-1.5594573542986739E-2</v>
      </c>
      <c r="Q10" s="17">
        <v>0</v>
      </c>
    </row>
    <row r="11" spans="2:17" x14ac:dyDescent="0.3">
      <c r="B11" s="15" t="s">
        <v>6</v>
      </c>
      <c r="C11" s="15">
        <v>288.16000000000003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  <row r="12" spans="2:17" x14ac:dyDescent="0.3">
      <c r="B12" s="15" t="s">
        <v>12</v>
      </c>
      <c r="C12" s="15">
        <v>101325</v>
      </c>
      <c r="D12" s="2"/>
      <c r="E12" s="2"/>
      <c r="F12" s="3" t="s">
        <v>11</v>
      </c>
      <c r="G12" s="18">
        <f>(H4*H5*H7)/(G4*G7)</f>
        <v>41.93045083631651</v>
      </c>
      <c r="H12" s="5">
        <f>((G6-H6)/H7+G5*H5)^0.5</f>
        <v>46.548578805302157</v>
      </c>
      <c r="I12" s="5">
        <f t="shared" ref="I12:Q12" si="5">((H6-I6)/I7+H5*I5)^0.5</f>
        <v>51.994291525448553</v>
      </c>
      <c r="J12" s="5">
        <f t="shared" si="5"/>
        <v>58.49402160897975</v>
      </c>
      <c r="K12" s="5">
        <f t="shared" si="5"/>
        <v>66.353457530754284</v>
      </c>
      <c r="L12" s="5">
        <f t="shared" si="5"/>
        <v>76.009472098726391</v>
      </c>
      <c r="M12" s="5">
        <f t="shared" si="5"/>
        <v>88.115378785879059</v>
      </c>
      <c r="N12" s="5">
        <f t="shared" si="5"/>
        <v>103.71296475969051</v>
      </c>
      <c r="O12" s="5">
        <f t="shared" si="5"/>
        <v>124.63572378163808</v>
      </c>
      <c r="P12" s="5">
        <f t="shared" si="5"/>
        <v>154.71789200394869</v>
      </c>
      <c r="Q12" s="5">
        <f t="shared" si="5"/>
        <v>205.86968923716401</v>
      </c>
    </row>
    <row r="13" spans="2:17" x14ac:dyDescent="0.3">
      <c r="B13" s="2"/>
      <c r="C13" s="2"/>
      <c r="D13" s="2"/>
      <c r="E13" s="2"/>
      <c r="F13" s="3" t="s">
        <v>12</v>
      </c>
      <c r="G13" s="19">
        <f>C10-(G7*G12^2)/2</f>
        <v>133575.6905166565</v>
      </c>
      <c r="H13" s="4">
        <f>H6+H10</f>
        <v>133228.05571204043</v>
      </c>
      <c r="I13" s="4">
        <f t="shared" ref="I13:P13" si="6">I6+I10</f>
        <v>132771.29689319027</v>
      </c>
      <c r="J13" s="4">
        <f t="shared" si="6"/>
        <v>132160.0341634838</v>
      </c>
      <c r="K13" s="4">
        <f t="shared" si="6"/>
        <v>131325.45389366223</v>
      </c>
      <c r="L13" s="4">
        <f t="shared" si="6"/>
        <v>130158.53283115636</v>
      </c>
      <c r="M13" s="4">
        <f t="shared" si="6"/>
        <v>128478.61727730346</v>
      </c>
      <c r="N13" s="4">
        <f t="shared" si="6"/>
        <v>125967.69400888424</v>
      </c>
      <c r="O13" s="4">
        <f t="shared" si="6"/>
        <v>122013.86926698107</v>
      </c>
      <c r="P13" s="4">
        <f t="shared" si="6"/>
        <v>115247.55909624857</v>
      </c>
      <c r="Q13" s="19">
        <f>Q6+Q10</f>
        <v>101325</v>
      </c>
    </row>
    <row r="14" spans="2:17" x14ac:dyDescent="0.3">
      <c r="B14" s="20" t="s">
        <v>7</v>
      </c>
      <c r="C14" s="20">
        <v>2100</v>
      </c>
      <c r="D14" s="2">
        <v>58</v>
      </c>
      <c r="E14" s="2"/>
      <c r="F14" s="3" t="s">
        <v>13</v>
      </c>
      <c r="G14" s="7">
        <f>G13/($C$7*G16)</f>
        <v>1.6202248851776264</v>
      </c>
      <c r="H14" s="7">
        <f t="shared" ref="H14:Q14" si="7">H13/($C$7*H16)</f>
        <v>1.617153205353836</v>
      </c>
      <c r="I14" s="7">
        <f t="shared" si="7"/>
        <v>1.6131100317512221</v>
      </c>
      <c r="J14" s="7">
        <f t="shared" si="7"/>
        <v>1.6076873667232072</v>
      </c>
      <c r="K14" s="7">
        <f t="shared" si="7"/>
        <v>1.6002637118140099</v>
      </c>
      <c r="L14" s="7">
        <f t="shared" si="7"/>
        <v>1.589848697716663</v>
      </c>
      <c r="M14" s="7">
        <f t="shared" si="7"/>
        <v>1.5747888466913631</v>
      </c>
      <c r="N14" s="7">
        <f t="shared" si="7"/>
        <v>1.5521439101657493</v>
      </c>
      <c r="O14" s="7">
        <f t="shared" si="7"/>
        <v>1.5161767601162646</v>
      </c>
      <c r="P14" s="7">
        <f t="shared" si="7"/>
        <v>1.4537841150397381</v>
      </c>
      <c r="Q14" s="7">
        <f t="shared" si="7"/>
        <v>1.322103521952489</v>
      </c>
    </row>
    <row r="15" spans="2:17" x14ac:dyDescent="0.3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</row>
    <row r="16" spans="2:17" x14ac:dyDescent="0.3">
      <c r="B16" s="2"/>
      <c r="C16" s="2"/>
      <c r="D16" s="2"/>
      <c r="E16" s="2"/>
      <c r="F16" s="3" t="s">
        <v>16</v>
      </c>
      <c r="G16" s="3">
        <f>$C$11-(G12^2)/(2*$C$8)</f>
        <v>287.28477140261731</v>
      </c>
      <c r="H16" s="3">
        <f t="shared" ref="H16:Q16" si="8">$C$11-(H12^2)/(2*$C$8)</f>
        <v>287.0813630653895</v>
      </c>
      <c r="I16" s="3">
        <f t="shared" si="8"/>
        <v>286.81422094378883</v>
      </c>
      <c r="J16" s="3">
        <f t="shared" si="8"/>
        <v>286.45672254535947</v>
      </c>
      <c r="K16" s="3">
        <f t="shared" si="8"/>
        <v>285.96825738783599</v>
      </c>
      <c r="L16" s="3">
        <f t="shared" si="8"/>
        <v>285.28394048960126</v>
      </c>
      <c r="M16" s="3">
        <f t="shared" si="8"/>
        <v>284.29485438172219</v>
      </c>
      <c r="N16" s="3">
        <f t="shared" si="8"/>
        <v>282.80538150101017</v>
      </c>
      <c r="O16" s="3">
        <f t="shared" si="8"/>
        <v>280.42700880594987</v>
      </c>
      <c r="P16" s="3">
        <f t="shared" si="8"/>
        <v>276.24364275153499</v>
      </c>
      <c r="Q16" s="3">
        <f t="shared" si="8"/>
        <v>267.06171019840343</v>
      </c>
    </row>
    <row r="17" spans="2:17" x14ac:dyDescent="0.3">
      <c r="B17" s="2"/>
      <c r="C17" s="2"/>
      <c r="D17" s="2"/>
      <c r="E17" s="2"/>
      <c r="F17" s="3" t="s">
        <v>17</v>
      </c>
      <c r="G17" s="3">
        <f>SQRT($C$6*$C$7*G16)</f>
        <v>339.73483716942047</v>
      </c>
      <c r="H17" s="3">
        <f t="shared" ref="H17:Q17" si="9">SQRT($C$6*$C$7*H16)</f>
        <v>339.61454340213601</v>
      </c>
      <c r="I17" s="3">
        <f t="shared" si="9"/>
        <v>339.45649332094581</v>
      </c>
      <c r="J17" s="3">
        <f t="shared" si="9"/>
        <v>339.2448702857593</v>
      </c>
      <c r="K17" s="3">
        <f t="shared" si="9"/>
        <v>338.95550720226231</v>
      </c>
      <c r="L17" s="3">
        <f t="shared" si="9"/>
        <v>338.54970707158293</v>
      </c>
      <c r="M17" s="3">
        <f t="shared" si="9"/>
        <v>337.96231762177894</v>
      </c>
      <c r="N17" s="3">
        <f t="shared" si="9"/>
        <v>337.07583169985804</v>
      </c>
      <c r="O17" s="3">
        <f t="shared" si="9"/>
        <v>335.65544744497362</v>
      </c>
      <c r="P17" s="3">
        <f t="shared" si="9"/>
        <v>333.14241235059052</v>
      </c>
      <c r="Q17" s="3">
        <f t="shared" si="9"/>
        <v>327.55904252314377</v>
      </c>
    </row>
    <row r="18" spans="2:17" x14ac:dyDescent="0.3">
      <c r="B18" s="2"/>
      <c r="C18" s="2"/>
      <c r="D18" s="2"/>
      <c r="E18" s="2"/>
      <c r="F18" s="3" t="s">
        <v>18</v>
      </c>
      <c r="G18" s="3">
        <f>G12/G17</f>
        <v>0.12342111037440193</v>
      </c>
      <c r="H18" s="3">
        <f t="shared" ref="H18:Q18" si="10">H12/H17</f>
        <v>0.13706297244810331</v>
      </c>
      <c r="I18" s="3">
        <f t="shared" si="10"/>
        <v>0.1531692353761798</v>
      </c>
      <c r="J18" s="3">
        <f t="shared" si="10"/>
        <v>0.17242418893381625</v>
      </c>
      <c r="K18" s="3">
        <f t="shared" si="10"/>
        <v>0.19575860583719532</v>
      </c>
      <c r="L18" s="3">
        <f t="shared" si="10"/>
        <v>0.22451495455778064</v>
      </c>
      <c r="M18" s="3">
        <f t="shared" si="10"/>
        <v>0.26072545426348659</v>
      </c>
      <c r="N18" s="3">
        <f t="shared" si="10"/>
        <v>0.30768436952798056</v>
      </c>
      <c r="O18" s="3">
        <f t="shared" si="10"/>
        <v>0.371320426140471</v>
      </c>
      <c r="P18" s="3">
        <f t="shared" si="10"/>
        <v>0.46441967839605952</v>
      </c>
      <c r="Q18" s="3">
        <f t="shared" si="10"/>
        <v>0.62849643121245302</v>
      </c>
    </row>
    <row r="20" spans="2:17" x14ac:dyDescent="0.3">
      <c r="F20" s="23" t="s">
        <v>27</v>
      </c>
      <c r="G20" s="21">
        <f>1-((($C$6-1)/($C$6+1))*G21^2)</f>
        <v>0.99704351676395109</v>
      </c>
      <c r="H20" s="21">
        <f t="shared" ref="H20:Q20" si="11">1-((($C$6-1)/($C$6+1))*H21^2)</f>
        <v>0.99637880570050985</v>
      </c>
      <c r="I20" s="21">
        <f t="shared" si="11"/>
        <v>0.99551813354344287</v>
      </c>
      <c r="J20" s="21">
        <f t="shared" si="11"/>
        <v>0.99438768896135621</v>
      </c>
      <c r="K20" s="21">
        <f t="shared" si="11"/>
        <v>0.99288131040332506</v>
      </c>
      <c r="L20" s="21">
        <f t="shared" si="11"/>
        <v>0.99084187373309141</v>
      </c>
      <c r="M20" s="21">
        <f t="shared" si="11"/>
        <v>0.98803161549818708</v>
      </c>
      <c r="N20" s="21">
        <f t="shared" si="11"/>
        <v>0.98408029266860997</v>
      </c>
      <c r="O20" s="21">
        <f t="shared" si="11"/>
        <v>0.9783847893762182</v>
      </c>
      <c r="P20" s="21">
        <f t="shared" si="11"/>
        <v>0.96986307586383536</v>
      </c>
      <c r="Q20" s="21">
        <f t="shared" si="11"/>
        <v>0.955865437159924</v>
      </c>
    </row>
    <row r="21" spans="2:17" x14ac:dyDescent="0.3">
      <c r="F21" s="21" t="s">
        <v>19</v>
      </c>
      <c r="G21" s="21">
        <f>SQRT(((($C$6+1)/2)*G18^2)/(1+2*G18^2))</f>
        <v>0.13318745968105747</v>
      </c>
      <c r="H21" s="21">
        <f t="shared" ref="H21:Q21" si="12">SQRT(((($C$6+1)/2)*H18^2)/(1+2*H18^2))</f>
        <v>0.14740137650965399</v>
      </c>
      <c r="I21" s="21">
        <f t="shared" si="12"/>
        <v>0.16398536135686798</v>
      </c>
      <c r="J21" s="21">
        <f t="shared" si="12"/>
        <v>0.18350440384868907</v>
      </c>
      <c r="K21" s="21">
        <f t="shared" si="12"/>
        <v>0.20666915004433914</v>
      </c>
      <c r="L21" s="21">
        <f t="shared" si="12"/>
        <v>0.23441151337221378</v>
      </c>
      <c r="M21" s="21">
        <f t="shared" si="12"/>
        <v>0.26797445216079324</v>
      </c>
      <c r="N21" s="21">
        <f t="shared" si="12"/>
        <v>0.30906025947756588</v>
      </c>
      <c r="O21" s="21">
        <f t="shared" si="12"/>
        <v>0.36012673289092423</v>
      </c>
      <c r="P21" s="21">
        <f t="shared" si="12"/>
        <v>0.42523116632837205</v>
      </c>
      <c r="Q21" s="21">
        <f t="shared" si="12"/>
        <v>0.5145943810813095</v>
      </c>
    </row>
    <row r="22" spans="2:17" x14ac:dyDescent="0.3">
      <c r="F22" s="23" t="s">
        <v>28</v>
      </c>
      <c r="G22" s="21">
        <f>(1-((($C$6-1)/($C$6+1))*G21^2))^($C$6/($C$6-1))</f>
        <v>0.98969049313525481</v>
      </c>
      <c r="H22" s="21">
        <f t="shared" ref="H22:Q22" si="13">(1-((($C$6-1)/($C$6+1))*H21^2))^($C$6/($C$6-1))</f>
        <v>0.98738308571128797</v>
      </c>
      <c r="I22" s="21">
        <f t="shared" si="13"/>
        <v>0.98440115175691045</v>
      </c>
      <c r="J22" s="21">
        <f t="shared" si="13"/>
        <v>0.98049432884097387</v>
      </c>
      <c r="K22" s="21">
        <f t="shared" si="13"/>
        <v>0.97530550435430718</v>
      </c>
      <c r="L22" s="21">
        <f t="shared" si="13"/>
        <v>0.96831181659976817</v>
      </c>
      <c r="M22" s="21">
        <f t="shared" si="13"/>
        <v>0.95873359440455008</v>
      </c>
      <c r="N22" s="21">
        <f t="shared" si="13"/>
        <v>0.94538100337872122</v>
      </c>
      <c r="O22" s="21">
        <f t="shared" si="13"/>
        <v>0.92636880689113077</v>
      </c>
      <c r="P22" s="21">
        <f t="shared" si="13"/>
        <v>0.89843464146839092</v>
      </c>
      <c r="Q22" s="21">
        <f t="shared" si="13"/>
        <v>0.85386390321231298</v>
      </c>
    </row>
    <row r="23" spans="2:17" x14ac:dyDescent="0.3">
      <c r="F23" s="21" t="s">
        <v>5</v>
      </c>
      <c r="G23" s="21">
        <f>G14/G22</f>
        <v>1.6371026057296889</v>
      </c>
      <c r="H23" s="21">
        <f t="shared" ref="H23:P23" si="14">H14/H22</f>
        <v>1.6378174072010523</v>
      </c>
      <c r="I23" s="21">
        <f t="shared" si="14"/>
        <v>1.6386714185291467</v>
      </c>
      <c r="J23" s="21">
        <f t="shared" si="14"/>
        <v>1.6396702351390731</v>
      </c>
      <c r="K23" s="21">
        <f t="shared" si="14"/>
        <v>1.6407819956614016</v>
      </c>
      <c r="L23" s="21">
        <f t="shared" si="14"/>
        <v>1.6418767905770526</v>
      </c>
      <c r="M23" s="21">
        <f t="shared" si="14"/>
        <v>1.6425718842880774</v>
      </c>
      <c r="N23" s="21">
        <f t="shared" si="14"/>
        <v>1.6418183828726225</v>
      </c>
      <c r="O23" s="21">
        <f t="shared" si="14"/>
        <v>1.6366880543015192</v>
      </c>
      <c r="P23" s="21">
        <f t="shared" si="14"/>
        <v>1.6181300764000937</v>
      </c>
      <c r="Q23" s="21">
        <f>Q14/Q22</f>
        <v>1.5483773432494528</v>
      </c>
    </row>
    <row r="26" spans="2:17" x14ac:dyDescent="0.3">
      <c r="K26" s="3"/>
      <c r="L26" s="3">
        <v>0</v>
      </c>
      <c r="M26" s="3">
        <v>2.5000000000000001E-2</v>
      </c>
      <c r="N26" s="3">
        <v>0.05</v>
      </c>
      <c r="O26" s="3">
        <v>7.4999999999999997E-2</v>
      </c>
      <c r="P26" s="3">
        <v>0.1</v>
      </c>
      <c r="Q26" s="3"/>
    </row>
    <row r="27" spans="2:17" x14ac:dyDescent="0.3">
      <c r="K27" s="3" t="s">
        <v>20</v>
      </c>
      <c r="L27" s="3">
        <v>46.31</v>
      </c>
      <c r="M27" s="3">
        <v>58.19</v>
      </c>
      <c r="N27" s="3">
        <v>80.48</v>
      </c>
      <c r="O27" s="3">
        <v>120.03</v>
      </c>
      <c r="P27" s="3">
        <v>213.26</v>
      </c>
      <c r="Q27" s="3"/>
    </row>
    <row r="28" spans="2:17" x14ac:dyDescent="0.3">
      <c r="K28" s="3" t="s">
        <v>21</v>
      </c>
      <c r="L28" s="3">
        <v>133165</v>
      </c>
      <c r="M28" s="3">
        <v>132230</v>
      </c>
      <c r="N28" s="3">
        <v>129765</v>
      </c>
      <c r="O28" s="3">
        <v>123565</v>
      </c>
      <c r="P28" s="3">
        <v>101336</v>
      </c>
      <c r="Q28" s="3"/>
    </row>
    <row r="29" spans="2:17" x14ac:dyDescent="0.3">
      <c r="K29" s="3" t="s">
        <v>22</v>
      </c>
      <c r="L29" s="3">
        <v>1.387</v>
      </c>
      <c r="M29" s="3"/>
      <c r="N29" s="3"/>
      <c r="O29" s="3"/>
      <c r="P29" s="3"/>
      <c r="Q29" s="3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ter">
                <anchor moveWithCells="1" sizeWithCells="1">
                  <from>
                    <xdr:col>1</xdr:col>
                    <xdr:colOff>160020</xdr:colOff>
                    <xdr:row>16</xdr:row>
                    <xdr:rowOff>0</xdr:rowOff>
                  </from>
                  <to>
                    <xdr:col>4</xdr:col>
                    <xdr:colOff>114300</xdr:colOff>
                    <xdr:row>19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ro_const</vt:lpstr>
      <vt:lpstr>ro_var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Максим</dc:creator>
  <cp:lastModifiedBy>Максим</cp:lastModifiedBy>
  <dcterms:created xsi:type="dcterms:W3CDTF">2021-05-18T04:26:27Z</dcterms:created>
  <dcterms:modified xsi:type="dcterms:W3CDTF">2021-05-24T16:11:41Z</dcterms:modified>
</cp:coreProperties>
</file>